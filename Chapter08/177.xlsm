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8\"/>
    </mc:Choice>
  </mc:AlternateContent>
  <xr:revisionPtr revIDLastSave="0" documentId="8_{BC54711D-0CEC-4F0F-BBF4-6FF839B03E65}" xr6:coauthVersionLast="46" xr6:coauthVersionMax="46" xr10:uidLastSave="{00000000-0000-0000-0000-000000000000}"/>
  <bookViews>
    <workbookView xWindow="390" yWindow="390" windowWidth="15435" windowHeight="12810" tabRatio="398"/>
  </bookViews>
  <sheets>
    <sheet name="3教科" sheetId="7" r:id="rId1"/>
  </sheets>
  <externalReferences>
    <externalReference r:id="rId2"/>
  </externalReferences>
  <definedNames>
    <definedName name="商品買家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4" i="7" l="1"/>
  <c r="R14" i="7"/>
  <c r="Q14" i="7"/>
  <c r="K14" i="7"/>
  <c r="J14" i="7"/>
  <c r="D14" i="7"/>
  <c r="C14" i="7"/>
  <c r="T13" i="7"/>
  <c r="L13" i="7"/>
  <c r="E13" i="7"/>
  <c r="T12" i="7"/>
  <c r="L12" i="7"/>
  <c r="E12" i="7"/>
  <c r="T11" i="7"/>
  <c r="L11" i="7"/>
  <c r="E11" i="7"/>
  <c r="T10" i="7"/>
  <c r="L10" i="7"/>
  <c r="E10" i="7"/>
  <c r="T9" i="7"/>
  <c r="L9" i="7"/>
  <c r="E9" i="7"/>
  <c r="T8" i="7"/>
  <c r="L8" i="7"/>
  <c r="E8" i="7"/>
  <c r="T7" i="7"/>
  <c r="L7" i="7"/>
  <c r="E7" i="7"/>
  <c r="T6" i="7"/>
  <c r="L6" i="7"/>
  <c r="E6" i="7"/>
  <c r="T5" i="7"/>
  <c r="L5" i="7"/>
  <c r="L14" i="7" s="1"/>
  <c r="E5" i="7"/>
  <c r="T4" i="7"/>
  <c r="T14" i="7" s="1"/>
  <c r="L4" i="7"/>
  <c r="E4" i="7"/>
  <c r="E14" i="7"/>
</calcChain>
</file>

<file path=xl/sharedStrings.xml><?xml version="1.0" encoding="utf-8"?>
<sst xmlns="http://schemas.openxmlformats.org/spreadsheetml/2006/main" count="85" uniqueCount="29">
  <si>
    <t>國語能力測試結果</t>
    <phoneticPr fontId="4" type="noConversion"/>
  </si>
  <si>
    <t>編號</t>
    <phoneticPr fontId="4" type="noConversion"/>
  </si>
  <si>
    <t>姓名</t>
    <phoneticPr fontId="4" type="noConversion"/>
  </si>
  <si>
    <t>古文</t>
    <phoneticPr fontId="4" type="noConversion"/>
  </si>
  <si>
    <t>得分</t>
    <phoneticPr fontId="4" type="noConversion"/>
  </si>
  <si>
    <t>評價</t>
    <phoneticPr fontId="4" type="noConversion"/>
  </si>
  <si>
    <t>陳 大同</t>
    <phoneticPr fontId="4" type="noConversion"/>
  </si>
  <si>
    <t>A</t>
    <phoneticPr fontId="4" type="noConversion"/>
  </si>
  <si>
    <t>黃 小霞</t>
    <phoneticPr fontId="4" type="noConversion"/>
  </si>
  <si>
    <t>C</t>
    <phoneticPr fontId="4" type="noConversion"/>
  </si>
  <si>
    <t>張 大軍</t>
    <phoneticPr fontId="4" type="noConversion"/>
  </si>
  <si>
    <t>D</t>
    <phoneticPr fontId="4" type="noConversion"/>
  </si>
  <si>
    <t>吳 小美</t>
    <phoneticPr fontId="4" type="noConversion"/>
  </si>
  <si>
    <t>B</t>
    <phoneticPr fontId="4" type="noConversion"/>
  </si>
  <si>
    <t>張 小梅</t>
    <phoneticPr fontId="4" type="noConversion"/>
  </si>
  <si>
    <t>周 大飛</t>
    <phoneticPr fontId="4" type="noConversion"/>
  </si>
  <si>
    <t>何 小燕</t>
    <phoneticPr fontId="4" type="noConversion"/>
  </si>
  <si>
    <t>吳 大同</t>
    <phoneticPr fontId="4" type="noConversion"/>
  </si>
  <si>
    <t>蔡 小名</t>
    <phoneticPr fontId="4" type="noConversion"/>
  </si>
  <si>
    <t>黃 大敏</t>
    <phoneticPr fontId="4" type="noConversion"/>
  </si>
  <si>
    <t>平均分數</t>
    <phoneticPr fontId="4" type="noConversion"/>
  </si>
  <si>
    <t>英語能力測試結果</t>
    <phoneticPr fontId="4" type="noConversion"/>
  </si>
  <si>
    <t>聽力</t>
    <phoneticPr fontId="4" type="noConversion"/>
  </si>
  <si>
    <t>讀解</t>
    <phoneticPr fontId="4" type="noConversion"/>
  </si>
  <si>
    <t>數學能力測試結果</t>
    <phoneticPr fontId="4" type="noConversion"/>
  </si>
  <si>
    <t>公式</t>
    <phoneticPr fontId="4" type="noConversion"/>
  </si>
  <si>
    <t>統計</t>
    <phoneticPr fontId="4" type="noConversion"/>
  </si>
  <si>
    <t>現代</t>
    <phoneticPr fontId="4" type="noConversion"/>
  </si>
  <si>
    <t>圖形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</si>
</sst>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7" formatCode="0.00_ "/>
  </numFmts>
  <fonts count="5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2" fillId="0" borderId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0" fillId="0" borderId="1" xfId="0" applyBorder="1">
      <alignment vertic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87" fontId="1" fillId="0" borderId="1" xfId="0" applyNumberFormat="1" applyFont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105821630882736E-2"/>
          <c:y val="9.1603224153193871E-2"/>
          <c:w val="0.78193916697408361"/>
          <c:h val="0.70992498718725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[1]送貨單!$C$3</c:f>
              <c:strCache>
                <c:ptCount val="1"/>
                <c:pt idx="0">
                  <c:v>現代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[1]送貨單!$B$4:$B$13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[1]送貨單!$C$4:$C$13</c:f>
              <c:numCache>
                <c:formatCode>General</c:formatCode>
                <c:ptCount val="10"/>
                <c:pt idx="0">
                  <c:v>96</c:v>
                </c:pt>
                <c:pt idx="1">
                  <c:v>88</c:v>
                </c:pt>
                <c:pt idx="2">
                  <c:v>23</c:v>
                </c:pt>
                <c:pt idx="3">
                  <c:v>91</c:v>
                </c:pt>
                <c:pt idx="4">
                  <c:v>63</c:v>
                </c:pt>
                <c:pt idx="5">
                  <c:v>57</c:v>
                </c:pt>
                <c:pt idx="6">
                  <c:v>70</c:v>
                </c:pt>
                <c:pt idx="7">
                  <c:v>93</c:v>
                </c:pt>
                <c:pt idx="8">
                  <c:v>33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FC-4608-9356-AFEBACD0709D}"/>
            </c:ext>
          </c:extLst>
        </c:ser>
        <c:ser>
          <c:idx val="1"/>
          <c:order val="1"/>
          <c:tx>
            <c:strRef>
              <c:f>[1]送貨單!$D$3</c:f>
              <c:strCache>
                <c:ptCount val="1"/>
                <c:pt idx="0">
                  <c:v>古文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[1]送貨單!$B$4:$B$13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[1]送貨單!$D$4:$D$13</c:f>
              <c:numCache>
                <c:formatCode>General</c:formatCode>
                <c:ptCount val="10"/>
                <c:pt idx="0">
                  <c:v>88</c:v>
                </c:pt>
                <c:pt idx="1">
                  <c:v>42</c:v>
                </c:pt>
                <c:pt idx="2">
                  <c:v>45</c:v>
                </c:pt>
                <c:pt idx="3">
                  <c:v>58</c:v>
                </c:pt>
                <c:pt idx="4">
                  <c:v>93</c:v>
                </c:pt>
                <c:pt idx="5">
                  <c:v>47</c:v>
                </c:pt>
                <c:pt idx="6">
                  <c:v>65</c:v>
                </c:pt>
                <c:pt idx="7">
                  <c:v>81</c:v>
                </c:pt>
                <c:pt idx="8">
                  <c:v>87</c:v>
                </c:pt>
                <c:pt idx="9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FC-4608-9356-AFEBACD0709D}"/>
            </c:ext>
          </c:extLst>
        </c:ser>
        <c:ser>
          <c:idx val="2"/>
          <c:order val="2"/>
          <c:tx>
            <c:strRef>
              <c:f>[1]送貨單!$E$3</c:f>
              <c:strCache>
                <c:ptCount val="1"/>
                <c:pt idx="0">
                  <c:v>得分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[1]送貨單!$B$4:$B$13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[1]送貨單!$E$4:$E$13</c:f>
              <c:numCache>
                <c:formatCode>General</c:formatCode>
                <c:ptCount val="10"/>
                <c:pt idx="0">
                  <c:v>184</c:v>
                </c:pt>
                <c:pt idx="1">
                  <c:v>130</c:v>
                </c:pt>
                <c:pt idx="2">
                  <c:v>68</c:v>
                </c:pt>
                <c:pt idx="3">
                  <c:v>149</c:v>
                </c:pt>
                <c:pt idx="4">
                  <c:v>156</c:v>
                </c:pt>
                <c:pt idx="5">
                  <c:v>104</c:v>
                </c:pt>
                <c:pt idx="6">
                  <c:v>135</c:v>
                </c:pt>
                <c:pt idx="7">
                  <c:v>174</c:v>
                </c:pt>
                <c:pt idx="8">
                  <c:v>120</c:v>
                </c:pt>
                <c:pt idx="9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FC-4608-9356-AFEBACD07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0556911"/>
        <c:axId val="1"/>
      </c:barChart>
      <c:catAx>
        <c:axId val="112055691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0556911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942740527478118"/>
          <c:y val="0.35496263348760793"/>
          <c:w val="0.98237977962005851"/>
          <c:h val="0.5419859349642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23361445495875E-2"/>
          <c:y val="9.0909427192187517E-2"/>
          <c:w val="0.76976831596147821"/>
          <c:h val="0.712123846338802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[1]送貨單!$J$3</c:f>
              <c:strCache>
                <c:ptCount val="1"/>
                <c:pt idx="0">
                  <c:v>聽力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[1]送貨單!$I$4:$I$13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[1]送貨單!$J$4:$J$13</c:f>
              <c:numCache>
                <c:formatCode>General</c:formatCode>
                <c:ptCount val="10"/>
                <c:pt idx="0">
                  <c:v>96</c:v>
                </c:pt>
                <c:pt idx="1">
                  <c:v>88</c:v>
                </c:pt>
                <c:pt idx="2">
                  <c:v>23</c:v>
                </c:pt>
                <c:pt idx="3">
                  <c:v>91</c:v>
                </c:pt>
                <c:pt idx="4">
                  <c:v>63</c:v>
                </c:pt>
                <c:pt idx="5">
                  <c:v>57</c:v>
                </c:pt>
                <c:pt idx="6">
                  <c:v>70</c:v>
                </c:pt>
                <c:pt idx="7">
                  <c:v>93</c:v>
                </c:pt>
                <c:pt idx="8">
                  <c:v>33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82-4D8E-AB58-1A6E86E563B3}"/>
            </c:ext>
          </c:extLst>
        </c:ser>
        <c:ser>
          <c:idx val="1"/>
          <c:order val="1"/>
          <c:tx>
            <c:strRef>
              <c:f>[1]送貨單!$K$3</c:f>
              <c:strCache>
                <c:ptCount val="1"/>
                <c:pt idx="0">
                  <c:v>讀解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[1]送貨單!$I$4:$I$13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[1]送貨單!$K$4:$K$13</c:f>
              <c:numCache>
                <c:formatCode>General</c:formatCode>
                <c:ptCount val="10"/>
                <c:pt idx="0">
                  <c:v>88</c:v>
                </c:pt>
                <c:pt idx="1">
                  <c:v>42</c:v>
                </c:pt>
                <c:pt idx="2">
                  <c:v>45</c:v>
                </c:pt>
                <c:pt idx="3">
                  <c:v>58</c:v>
                </c:pt>
                <c:pt idx="4">
                  <c:v>93</c:v>
                </c:pt>
                <c:pt idx="5">
                  <c:v>47</c:v>
                </c:pt>
                <c:pt idx="6">
                  <c:v>65</c:v>
                </c:pt>
                <c:pt idx="7">
                  <c:v>81</c:v>
                </c:pt>
                <c:pt idx="8">
                  <c:v>87</c:v>
                </c:pt>
                <c:pt idx="9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2-4D8E-AB58-1A6E86E563B3}"/>
            </c:ext>
          </c:extLst>
        </c:ser>
        <c:ser>
          <c:idx val="2"/>
          <c:order val="2"/>
          <c:tx>
            <c:strRef>
              <c:f>[1]送貨單!$L$3</c:f>
              <c:strCache>
                <c:ptCount val="1"/>
                <c:pt idx="0">
                  <c:v>得分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[1]送貨單!$I$4:$I$13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[1]送貨單!$L$4:$L$13</c:f>
              <c:numCache>
                <c:formatCode>General</c:formatCode>
                <c:ptCount val="10"/>
                <c:pt idx="0">
                  <c:v>184</c:v>
                </c:pt>
                <c:pt idx="1">
                  <c:v>130</c:v>
                </c:pt>
                <c:pt idx="2">
                  <c:v>68</c:v>
                </c:pt>
                <c:pt idx="3">
                  <c:v>149</c:v>
                </c:pt>
                <c:pt idx="4">
                  <c:v>156</c:v>
                </c:pt>
                <c:pt idx="5">
                  <c:v>104</c:v>
                </c:pt>
                <c:pt idx="6">
                  <c:v>135</c:v>
                </c:pt>
                <c:pt idx="7">
                  <c:v>174</c:v>
                </c:pt>
                <c:pt idx="8">
                  <c:v>120</c:v>
                </c:pt>
                <c:pt idx="9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82-4D8E-AB58-1A6E86E56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0557327"/>
        <c:axId val="1"/>
      </c:barChart>
      <c:catAx>
        <c:axId val="112055732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055732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88373069645364"/>
          <c:y val="0.35606179909329516"/>
          <c:w val="0.98139632545931754"/>
          <c:h val="0.541668655054481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00000000000029E-2"/>
          <c:y val="9.1954367046691882E-2"/>
          <c:w val="0.80200000000000005"/>
          <c:h val="0.762454960095486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[1]送貨單!$Q$3</c:f>
              <c:strCache>
                <c:ptCount val="1"/>
                <c:pt idx="0">
                  <c:v>公式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[1]送貨單!$P$4:$P$13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[1]送貨單!$Q$4:$Q$13</c:f>
              <c:numCache>
                <c:formatCode>General</c:formatCode>
                <c:ptCount val="10"/>
                <c:pt idx="0">
                  <c:v>96</c:v>
                </c:pt>
                <c:pt idx="1">
                  <c:v>88</c:v>
                </c:pt>
                <c:pt idx="2">
                  <c:v>23</c:v>
                </c:pt>
                <c:pt idx="3">
                  <c:v>91</c:v>
                </c:pt>
                <c:pt idx="4">
                  <c:v>63</c:v>
                </c:pt>
                <c:pt idx="5">
                  <c:v>57</c:v>
                </c:pt>
                <c:pt idx="6">
                  <c:v>70</c:v>
                </c:pt>
                <c:pt idx="7">
                  <c:v>93</c:v>
                </c:pt>
                <c:pt idx="8">
                  <c:v>33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8C-4550-B38C-4AFB66FABF2B}"/>
            </c:ext>
          </c:extLst>
        </c:ser>
        <c:ser>
          <c:idx val="1"/>
          <c:order val="1"/>
          <c:tx>
            <c:strRef>
              <c:f>[1]送貨單!$R$3</c:f>
              <c:strCache>
                <c:ptCount val="1"/>
                <c:pt idx="0">
                  <c:v>統計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[1]送貨單!$P$4:$P$13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[1]送貨單!$R$4:$R$13</c:f>
              <c:numCache>
                <c:formatCode>General</c:formatCode>
                <c:ptCount val="10"/>
                <c:pt idx="0">
                  <c:v>88</c:v>
                </c:pt>
                <c:pt idx="1">
                  <c:v>42</c:v>
                </c:pt>
                <c:pt idx="2">
                  <c:v>45</c:v>
                </c:pt>
                <c:pt idx="3">
                  <c:v>58</c:v>
                </c:pt>
                <c:pt idx="4">
                  <c:v>93</c:v>
                </c:pt>
                <c:pt idx="5">
                  <c:v>47</c:v>
                </c:pt>
                <c:pt idx="6">
                  <c:v>65</c:v>
                </c:pt>
                <c:pt idx="7">
                  <c:v>81</c:v>
                </c:pt>
                <c:pt idx="8">
                  <c:v>87</c:v>
                </c:pt>
                <c:pt idx="9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8C-4550-B38C-4AFB66FABF2B}"/>
            </c:ext>
          </c:extLst>
        </c:ser>
        <c:ser>
          <c:idx val="2"/>
          <c:order val="2"/>
          <c:tx>
            <c:strRef>
              <c:f>[1]送貨單!$S$3</c:f>
              <c:strCache>
                <c:ptCount val="1"/>
                <c:pt idx="0">
                  <c:v>圖形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[1]送貨單!$P$4:$P$13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[1]送貨單!$S$4:$S$13</c:f>
              <c:numCache>
                <c:formatCode>General</c:formatCode>
                <c:ptCount val="10"/>
                <c:pt idx="0">
                  <c:v>95</c:v>
                </c:pt>
                <c:pt idx="1">
                  <c:v>92</c:v>
                </c:pt>
                <c:pt idx="2">
                  <c:v>96</c:v>
                </c:pt>
                <c:pt idx="3">
                  <c:v>91</c:v>
                </c:pt>
                <c:pt idx="4">
                  <c:v>85</c:v>
                </c:pt>
                <c:pt idx="5">
                  <c:v>96</c:v>
                </c:pt>
                <c:pt idx="6">
                  <c:v>94</c:v>
                </c:pt>
                <c:pt idx="7">
                  <c:v>96</c:v>
                </c:pt>
                <c:pt idx="8">
                  <c:v>97</c:v>
                </c:pt>
                <c:pt idx="9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8C-4550-B38C-4AFB66FABF2B}"/>
            </c:ext>
          </c:extLst>
        </c:ser>
        <c:ser>
          <c:idx val="3"/>
          <c:order val="3"/>
          <c:tx>
            <c:strRef>
              <c:f>[1]送貨單!$T$3</c:f>
              <c:strCache>
                <c:ptCount val="1"/>
                <c:pt idx="0">
                  <c:v>得分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[1]送貨單!$P$4:$P$13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[1]送貨單!$T$4:$T$13</c:f>
              <c:numCache>
                <c:formatCode>General</c:formatCode>
                <c:ptCount val="10"/>
                <c:pt idx="0">
                  <c:v>279</c:v>
                </c:pt>
                <c:pt idx="1">
                  <c:v>222</c:v>
                </c:pt>
                <c:pt idx="2">
                  <c:v>164</c:v>
                </c:pt>
                <c:pt idx="3">
                  <c:v>240</c:v>
                </c:pt>
                <c:pt idx="4">
                  <c:v>241</c:v>
                </c:pt>
                <c:pt idx="5">
                  <c:v>200</c:v>
                </c:pt>
                <c:pt idx="6">
                  <c:v>229</c:v>
                </c:pt>
                <c:pt idx="7">
                  <c:v>270</c:v>
                </c:pt>
                <c:pt idx="8">
                  <c:v>217</c:v>
                </c:pt>
                <c:pt idx="9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8C-4550-B38C-4AFB66FAB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0560239"/>
        <c:axId val="1"/>
      </c:barChart>
      <c:catAx>
        <c:axId val="112056023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0560239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0400000000000003"/>
          <c:y val="0.34866021057712615"/>
          <c:w val="0.98399999999999999"/>
          <c:h val="0.597703160668134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022" r="0.75000000000000022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19050</xdr:rowOff>
    </xdr:from>
    <xdr:to>
      <xdr:col>5</xdr:col>
      <xdr:colOff>666750</xdr:colOff>
      <xdr:row>28</xdr:row>
      <xdr:rowOff>0</xdr:rowOff>
    </xdr:to>
    <xdr:graphicFrame macro="">
      <xdr:nvGraphicFramePr>
        <xdr:cNvPr id="1037" name="Chart 1">
          <a:extLst>
            <a:ext uri="{FF2B5EF4-FFF2-40B4-BE49-F238E27FC236}">
              <a16:creationId xmlns:a16="http://schemas.microsoft.com/office/drawing/2014/main" id="{58C55804-2C43-4911-A6EF-CABE194BC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19050</xdr:colOff>
      <xdr:row>16</xdr:row>
      <xdr:rowOff>0</xdr:rowOff>
    </xdr:from>
    <xdr:to>
      <xdr:col>13</xdr:col>
      <xdr:colOff>0</xdr:colOff>
      <xdr:row>28</xdr:row>
      <xdr:rowOff>0</xdr:rowOff>
    </xdr:to>
    <xdr:graphicFrame macro="">
      <xdr:nvGraphicFramePr>
        <xdr:cNvPr id="1038" name="Chart 2">
          <a:extLst>
            <a:ext uri="{FF2B5EF4-FFF2-40B4-BE49-F238E27FC236}">
              <a16:creationId xmlns:a16="http://schemas.microsoft.com/office/drawing/2014/main" id="{ED89F81F-66D0-4D95-93E6-0FF7E4B498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19050</xdr:colOff>
      <xdr:row>16</xdr:row>
      <xdr:rowOff>28575</xdr:rowOff>
    </xdr:from>
    <xdr:to>
      <xdr:col>20</xdr:col>
      <xdr:colOff>666750</xdr:colOff>
      <xdr:row>28</xdr:row>
      <xdr:rowOff>0</xdr:rowOff>
    </xdr:to>
    <xdr:graphicFrame macro="">
      <xdr:nvGraphicFramePr>
        <xdr:cNvPr id="1039" name="Chart 3">
          <a:extLst>
            <a:ext uri="{FF2B5EF4-FFF2-40B4-BE49-F238E27FC236}">
              <a16:creationId xmlns:a16="http://schemas.microsoft.com/office/drawing/2014/main" id="{B8162B7A-E481-4055-B510-73941A7E90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2763;&#35695;/&#26071;&#27161;/Excel%202007%20VBA/&#24040;&#38598;/17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送貨單"/>
      <sheetName val="2"/>
      <sheetName val="3"/>
      <sheetName val="4"/>
    </sheetNames>
    <sheetDataSet>
      <sheetData sheetId="0">
        <row r="3">
          <cell r="C3" t="str">
            <v>現代</v>
          </cell>
          <cell r="D3" t="str">
            <v>古文</v>
          </cell>
          <cell r="E3" t="str">
            <v>得分</v>
          </cell>
          <cell r="J3" t="str">
            <v>聽力</v>
          </cell>
          <cell r="K3" t="str">
            <v>讀解</v>
          </cell>
          <cell r="L3" t="str">
            <v>得分</v>
          </cell>
          <cell r="Q3" t="str">
            <v>公式</v>
          </cell>
          <cell r="R3" t="str">
            <v>統計</v>
          </cell>
          <cell r="S3" t="str">
            <v>圖形</v>
          </cell>
          <cell r="T3" t="str">
            <v>得分</v>
          </cell>
        </row>
        <row r="4">
          <cell r="B4" t="str">
            <v>陳 大同</v>
          </cell>
          <cell r="C4">
            <v>96</v>
          </cell>
          <cell r="D4">
            <v>88</v>
          </cell>
          <cell r="E4">
            <v>184</v>
          </cell>
          <cell r="I4" t="str">
            <v>陳 大同</v>
          </cell>
          <cell r="J4">
            <v>96</v>
          </cell>
          <cell r="K4">
            <v>88</v>
          </cell>
          <cell r="L4">
            <v>184</v>
          </cell>
          <cell r="P4" t="str">
            <v>陳 大同</v>
          </cell>
          <cell r="Q4">
            <v>96</v>
          </cell>
          <cell r="R4">
            <v>88</v>
          </cell>
          <cell r="S4">
            <v>95</v>
          </cell>
          <cell r="T4">
            <v>279</v>
          </cell>
        </row>
        <row r="5">
          <cell r="B5" t="str">
            <v>黃 小霞</v>
          </cell>
          <cell r="C5">
            <v>88</v>
          </cell>
          <cell r="D5">
            <v>42</v>
          </cell>
          <cell r="E5">
            <v>130</v>
          </cell>
          <cell r="I5" t="str">
            <v>黃 小霞</v>
          </cell>
          <cell r="J5">
            <v>88</v>
          </cell>
          <cell r="K5">
            <v>42</v>
          </cell>
          <cell r="L5">
            <v>130</v>
          </cell>
          <cell r="P5" t="str">
            <v>黃 小霞</v>
          </cell>
          <cell r="Q5">
            <v>88</v>
          </cell>
          <cell r="R5">
            <v>42</v>
          </cell>
          <cell r="S5">
            <v>92</v>
          </cell>
          <cell r="T5">
            <v>222</v>
          </cell>
        </row>
        <row r="6">
          <cell r="B6" t="str">
            <v>張 大軍</v>
          </cell>
          <cell r="C6">
            <v>23</v>
          </cell>
          <cell r="D6">
            <v>45</v>
          </cell>
          <cell r="E6">
            <v>68</v>
          </cell>
          <cell r="I6" t="str">
            <v>張 大軍</v>
          </cell>
          <cell r="J6">
            <v>23</v>
          </cell>
          <cell r="K6">
            <v>45</v>
          </cell>
          <cell r="L6">
            <v>68</v>
          </cell>
          <cell r="P6" t="str">
            <v>張 大軍</v>
          </cell>
          <cell r="Q6">
            <v>23</v>
          </cell>
          <cell r="R6">
            <v>45</v>
          </cell>
          <cell r="S6">
            <v>96</v>
          </cell>
          <cell r="T6">
            <v>164</v>
          </cell>
        </row>
        <row r="7">
          <cell r="B7" t="str">
            <v>吳 小美</v>
          </cell>
          <cell r="C7">
            <v>91</v>
          </cell>
          <cell r="D7">
            <v>58</v>
          </cell>
          <cell r="E7">
            <v>149</v>
          </cell>
          <cell r="I7" t="str">
            <v>吳 小美</v>
          </cell>
          <cell r="J7">
            <v>91</v>
          </cell>
          <cell r="K7">
            <v>58</v>
          </cell>
          <cell r="L7">
            <v>149</v>
          </cell>
          <cell r="P7" t="str">
            <v>吳 小美</v>
          </cell>
          <cell r="Q7">
            <v>91</v>
          </cell>
          <cell r="R7">
            <v>58</v>
          </cell>
          <cell r="S7">
            <v>91</v>
          </cell>
          <cell r="T7">
            <v>240</v>
          </cell>
        </row>
        <row r="8">
          <cell r="B8" t="str">
            <v>張 小梅</v>
          </cell>
          <cell r="C8">
            <v>63</v>
          </cell>
          <cell r="D8">
            <v>93</v>
          </cell>
          <cell r="E8">
            <v>156</v>
          </cell>
          <cell r="I8" t="str">
            <v>張 小梅</v>
          </cell>
          <cell r="J8">
            <v>63</v>
          </cell>
          <cell r="K8">
            <v>93</v>
          </cell>
          <cell r="L8">
            <v>156</v>
          </cell>
          <cell r="P8" t="str">
            <v>張 小梅</v>
          </cell>
          <cell r="Q8">
            <v>63</v>
          </cell>
          <cell r="R8">
            <v>93</v>
          </cell>
          <cell r="S8">
            <v>85</v>
          </cell>
          <cell r="T8">
            <v>241</v>
          </cell>
        </row>
        <row r="9">
          <cell r="B9" t="str">
            <v>周 大飛</v>
          </cell>
          <cell r="C9">
            <v>57</v>
          </cell>
          <cell r="D9">
            <v>47</v>
          </cell>
          <cell r="E9">
            <v>104</v>
          </cell>
          <cell r="I9" t="str">
            <v>周 大飛</v>
          </cell>
          <cell r="J9">
            <v>57</v>
          </cell>
          <cell r="K9">
            <v>47</v>
          </cell>
          <cell r="L9">
            <v>104</v>
          </cell>
          <cell r="P9" t="str">
            <v>周 大飛</v>
          </cell>
          <cell r="Q9">
            <v>57</v>
          </cell>
          <cell r="R9">
            <v>47</v>
          </cell>
          <cell r="S9">
            <v>96</v>
          </cell>
          <cell r="T9">
            <v>200</v>
          </cell>
        </row>
        <row r="10">
          <cell r="B10" t="str">
            <v>何 小燕</v>
          </cell>
          <cell r="C10">
            <v>70</v>
          </cell>
          <cell r="D10">
            <v>65</v>
          </cell>
          <cell r="E10">
            <v>135</v>
          </cell>
          <cell r="I10" t="str">
            <v>何 小燕</v>
          </cell>
          <cell r="J10">
            <v>70</v>
          </cell>
          <cell r="K10">
            <v>65</v>
          </cell>
          <cell r="L10">
            <v>135</v>
          </cell>
          <cell r="P10" t="str">
            <v>何 小燕</v>
          </cell>
          <cell r="Q10">
            <v>70</v>
          </cell>
          <cell r="R10">
            <v>65</v>
          </cell>
          <cell r="S10">
            <v>94</v>
          </cell>
          <cell r="T10">
            <v>229</v>
          </cell>
        </row>
        <row r="11">
          <cell r="B11" t="str">
            <v>吳 大同</v>
          </cell>
          <cell r="C11">
            <v>93</v>
          </cell>
          <cell r="D11">
            <v>81</v>
          </cell>
          <cell r="E11">
            <v>174</v>
          </cell>
          <cell r="I11" t="str">
            <v>吳 大同</v>
          </cell>
          <cell r="J11">
            <v>93</v>
          </cell>
          <cell r="K11">
            <v>81</v>
          </cell>
          <cell r="L11">
            <v>174</v>
          </cell>
          <cell r="P11" t="str">
            <v>吳 大同</v>
          </cell>
          <cell r="Q11">
            <v>93</v>
          </cell>
          <cell r="R11">
            <v>81</v>
          </cell>
          <cell r="S11">
            <v>96</v>
          </cell>
          <cell r="T11">
            <v>270</v>
          </cell>
        </row>
        <row r="12">
          <cell r="B12" t="str">
            <v>蔡 小名</v>
          </cell>
          <cell r="C12">
            <v>33</v>
          </cell>
          <cell r="D12">
            <v>87</v>
          </cell>
          <cell r="E12">
            <v>120</v>
          </cell>
          <cell r="I12" t="str">
            <v>蔡 小名</v>
          </cell>
          <cell r="J12">
            <v>33</v>
          </cell>
          <cell r="K12">
            <v>87</v>
          </cell>
          <cell r="L12">
            <v>120</v>
          </cell>
          <cell r="P12" t="str">
            <v>蔡 小名</v>
          </cell>
          <cell r="Q12">
            <v>33</v>
          </cell>
          <cell r="R12">
            <v>87</v>
          </cell>
          <cell r="S12">
            <v>97</v>
          </cell>
          <cell r="T12">
            <v>217</v>
          </cell>
        </row>
        <row r="13">
          <cell r="B13" t="str">
            <v>黃 大敏</v>
          </cell>
          <cell r="C13">
            <v>100</v>
          </cell>
          <cell r="D13">
            <v>96</v>
          </cell>
          <cell r="E13">
            <v>196</v>
          </cell>
          <cell r="I13" t="str">
            <v>黃 大敏</v>
          </cell>
          <cell r="J13">
            <v>100</v>
          </cell>
          <cell r="K13">
            <v>96</v>
          </cell>
          <cell r="L13">
            <v>196</v>
          </cell>
          <cell r="P13" t="str">
            <v>黃 大敏</v>
          </cell>
          <cell r="Q13">
            <v>100</v>
          </cell>
          <cell r="R13">
            <v>96</v>
          </cell>
          <cell r="S13">
            <v>99</v>
          </cell>
          <cell r="T13">
            <v>295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U14"/>
  <sheetViews>
    <sheetView tabSelected="1" zoomScale="85" zoomScaleNormal="85" workbookViewId="0"/>
  </sheetViews>
  <sheetFormatPr defaultRowHeight="16.5" x14ac:dyDescent="0.25"/>
  <cols>
    <col min="1" max="1" width="9" style="1"/>
    <col min="2" max="2" width="11" style="1" customWidth="1"/>
    <col min="3" max="3" width="10" style="1" customWidth="1"/>
    <col min="4" max="16384" width="9" style="1"/>
  </cols>
  <sheetData>
    <row r="1" spans="1:21" x14ac:dyDescent="0.25">
      <c r="A1" s="1" t="s">
        <v>0</v>
      </c>
      <c r="H1" s="1" t="s">
        <v>21</v>
      </c>
      <c r="O1" s="1" t="s">
        <v>24</v>
      </c>
    </row>
    <row r="3" spans="1:21" x14ac:dyDescent="0.25">
      <c r="A3" s="7" t="s">
        <v>1</v>
      </c>
      <c r="B3" s="7" t="s">
        <v>2</v>
      </c>
      <c r="C3" s="7" t="s">
        <v>27</v>
      </c>
      <c r="D3" s="7" t="s">
        <v>3</v>
      </c>
      <c r="E3" s="7" t="s">
        <v>4</v>
      </c>
      <c r="F3" s="7" t="s">
        <v>5</v>
      </c>
      <c r="H3" s="2" t="s">
        <v>1</v>
      </c>
      <c r="I3" s="2" t="s">
        <v>2</v>
      </c>
      <c r="J3" s="2" t="s">
        <v>22</v>
      </c>
      <c r="K3" s="2" t="s">
        <v>23</v>
      </c>
      <c r="L3" s="2" t="s">
        <v>4</v>
      </c>
      <c r="M3" s="2" t="s">
        <v>5</v>
      </c>
      <c r="O3" s="6" t="s">
        <v>1</v>
      </c>
      <c r="P3" s="6" t="s">
        <v>2</v>
      </c>
      <c r="Q3" s="6" t="s">
        <v>25</v>
      </c>
      <c r="R3" s="6" t="s">
        <v>26</v>
      </c>
      <c r="S3" s="6" t="s">
        <v>28</v>
      </c>
      <c r="T3" s="6" t="s">
        <v>4</v>
      </c>
      <c r="U3" s="6" t="s">
        <v>5</v>
      </c>
    </row>
    <row r="4" spans="1:21" x14ac:dyDescent="0.25">
      <c r="A4" s="3">
        <v>1</v>
      </c>
      <c r="B4" s="4" t="s">
        <v>6</v>
      </c>
      <c r="C4" s="3">
        <v>96</v>
      </c>
      <c r="D4" s="3">
        <v>88</v>
      </c>
      <c r="E4" s="3">
        <f>SUM(C4:D4)</f>
        <v>184</v>
      </c>
      <c r="F4" s="5" t="s">
        <v>7</v>
      </c>
      <c r="H4" s="3">
        <v>1</v>
      </c>
      <c r="I4" s="4" t="s">
        <v>6</v>
      </c>
      <c r="J4" s="3">
        <v>96</v>
      </c>
      <c r="K4" s="3">
        <v>88</v>
      </c>
      <c r="L4" s="3">
        <f t="shared" ref="L4:L13" si="0">SUM(J4:K4)</f>
        <v>184</v>
      </c>
      <c r="M4" s="5" t="s">
        <v>7</v>
      </c>
      <c r="O4" s="3">
        <v>1</v>
      </c>
      <c r="P4" s="4" t="s">
        <v>6</v>
      </c>
      <c r="Q4" s="3">
        <v>96</v>
      </c>
      <c r="R4" s="3">
        <v>88</v>
      </c>
      <c r="S4" s="3">
        <v>95</v>
      </c>
      <c r="T4" s="3">
        <f>SUM(Q4:S4)</f>
        <v>279</v>
      </c>
      <c r="U4" s="5" t="s">
        <v>7</v>
      </c>
    </row>
    <row r="5" spans="1:21" x14ac:dyDescent="0.25">
      <c r="A5" s="3">
        <v>2</v>
      </c>
      <c r="B5" s="4" t="s">
        <v>8</v>
      </c>
      <c r="C5" s="3">
        <v>88</v>
      </c>
      <c r="D5" s="3">
        <v>42</v>
      </c>
      <c r="E5" s="3">
        <f t="shared" ref="E5:E13" si="1">SUM(C5:D5)</f>
        <v>130</v>
      </c>
      <c r="F5" s="5" t="s">
        <v>9</v>
      </c>
      <c r="H5" s="3">
        <v>2</v>
      </c>
      <c r="I5" s="4" t="s">
        <v>8</v>
      </c>
      <c r="J5" s="3">
        <v>88</v>
      </c>
      <c r="K5" s="3">
        <v>42</v>
      </c>
      <c r="L5" s="3">
        <f t="shared" si="0"/>
        <v>130</v>
      </c>
      <c r="M5" s="5" t="s">
        <v>9</v>
      </c>
      <c r="O5" s="3">
        <v>2</v>
      </c>
      <c r="P5" s="4" t="s">
        <v>8</v>
      </c>
      <c r="Q5" s="3">
        <v>88</v>
      </c>
      <c r="R5" s="3">
        <v>42</v>
      </c>
      <c r="S5" s="3">
        <v>92</v>
      </c>
      <c r="T5" s="3">
        <f t="shared" ref="T5:T13" si="2">SUM(Q5:S5)</f>
        <v>222</v>
      </c>
      <c r="U5" s="5" t="s">
        <v>9</v>
      </c>
    </row>
    <row r="6" spans="1:21" x14ac:dyDescent="0.25">
      <c r="A6" s="3">
        <v>3</v>
      </c>
      <c r="B6" s="4" t="s">
        <v>10</v>
      </c>
      <c r="C6" s="3">
        <v>23</v>
      </c>
      <c r="D6" s="3">
        <v>45</v>
      </c>
      <c r="E6" s="3">
        <f t="shared" si="1"/>
        <v>68</v>
      </c>
      <c r="F6" s="5" t="s">
        <v>11</v>
      </c>
      <c r="H6" s="3">
        <v>3</v>
      </c>
      <c r="I6" s="4" t="s">
        <v>10</v>
      </c>
      <c r="J6" s="3">
        <v>23</v>
      </c>
      <c r="K6" s="3">
        <v>45</v>
      </c>
      <c r="L6" s="3">
        <f t="shared" si="0"/>
        <v>68</v>
      </c>
      <c r="M6" s="5" t="s">
        <v>11</v>
      </c>
      <c r="O6" s="3">
        <v>3</v>
      </c>
      <c r="P6" s="4" t="s">
        <v>10</v>
      </c>
      <c r="Q6" s="3">
        <v>23</v>
      </c>
      <c r="R6" s="3">
        <v>45</v>
      </c>
      <c r="S6" s="3">
        <v>96</v>
      </c>
      <c r="T6" s="3">
        <f t="shared" si="2"/>
        <v>164</v>
      </c>
      <c r="U6" s="5" t="s">
        <v>11</v>
      </c>
    </row>
    <row r="7" spans="1:21" x14ac:dyDescent="0.25">
      <c r="A7" s="3">
        <v>4</v>
      </c>
      <c r="B7" s="4" t="s">
        <v>12</v>
      </c>
      <c r="C7" s="3">
        <v>91</v>
      </c>
      <c r="D7" s="3">
        <v>58</v>
      </c>
      <c r="E7" s="3">
        <f t="shared" si="1"/>
        <v>149</v>
      </c>
      <c r="F7" s="5" t="s">
        <v>13</v>
      </c>
      <c r="H7" s="3">
        <v>4</v>
      </c>
      <c r="I7" s="4" t="s">
        <v>12</v>
      </c>
      <c r="J7" s="3">
        <v>91</v>
      </c>
      <c r="K7" s="3">
        <v>58</v>
      </c>
      <c r="L7" s="3">
        <f t="shared" si="0"/>
        <v>149</v>
      </c>
      <c r="M7" s="5" t="s">
        <v>13</v>
      </c>
      <c r="O7" s="3">
        <v>4</v>
      </c>
      <c r="P7" s="4" t="s">
        <v>12</v>
      </c>
      <c r="Q7" s="3">
        <v>91</v>
      </c>
      <c r="R7" s="3">
        <v>58</v>
      </c>
      <c r="S7" s="3">
        <v>91</v>
      </c>
      <c r="T7" s="3">
        <f t="shared" si="2"/>
        <v>240</v>
      </c>
      <c r="U7" s="5" t="s">
        <v>13</v>
      </c>
    </row>
    <row r="8" spans="1:21" x14ac:dyDescent="0.25">
      <c r="A8" s="3">
        <v>5</v>
      </c>
      <c r="B8" s="4" t="s">
        <v>14</v>
      </c>
      <c r="C8" s="3">
        <v>63</v>
      </c>
      <c r="D8" s="3">
        <v>93</v>
      </c>
      <c r="E8" s="3">
        <f t="shared" si="1"/>
        <v>156</v>
      </c>
      <c r="F8" s="5" t="s">
        <v>13</v>
      </c>
      <c r="H8" s="3">
        <v>5</v>
      </c>
      <c r="I8" s="4" t="s">
        <v>14</v>
      </c>
      <c r="J8" s="3">
        <v>63</v>
      </c>
      <c r="K8" s="3">
        <v>93</v>
      </c>
      <c r="L8" s="3">
        <f t="shared" si="0"/>
        <v>156</v>
      </c>
      <c r="M8" s="5" t="s">
        <v>13</v>
      </c>
      <c r="O8" s="3">
        <v>5</v>
      </c>
      <c r="P8" s="4" t="s">
        <v>14</v>
      </c>
      <c r="Q8" s="3">
        <v>63</v>
      </c>
      <c r="R8" s="3">
        <v>93</v>
      </c>
      <c r="S8" s="3">
        <v>85</v>
      </c>
      <c r="T8" s="3">
        <f t="shared" si="2"/>
        <v>241</v>
      </c>
      <c r="U8" s="5" t="s">
        <v>13</v>
      </c>
    </row>
    <row r="9" spans="1:21" x14ac:dyDescent="0.25">
      <c r="A9" s="3">
        <v>6</v>
      </c>
      <c r="B9" s="4" t="s">
        <v>15</v>
      </c>
      <c r="C9" s="3">
        <v>57</v>
      </c>
      <c r="D9" s="3">
        <v>47</v>
      </c>
      <c r="E9" s="3">
        <f t="shared" si="1"/>
        <v>104</v>
      </c>
      <c r="F9" s="5" t="s">
        <v>11</v>
      </c>
      <c r="H9" s="3">
        <v>6</v>
      </c>
      <c r="I9" s="4" t="s">
        <v>15</v>
      </c>
      <c r="J9" s="3">
        <v>57</v>
      </c>
      <c r="K9" s="3">
        <v>47</v>
      </c>
      <c r="L9" s="3">
        <f t="shared" si="0"/>
        <v>104</v>
      </c>
      <c r="M9" s="5" t="s">
        <v>11</v>
      </c>
      <c r="O9" s="3">
        <v>6</v>
      </c>
      <c r="P9" s="4" t="s">
        <v>15</v>
      </c>
      <c r="Q9" s="3">
        <v>57</v>
      </c>
      <c r="R9" s="3">
        <v>47</v>
      </c>
      <c r="S9" s="3">
        <v>96</v>
      </c>
      <c r="T9" s="3">
        <f t="shared" si="2"/>
        <v>200</v>
      </c>
      <c r="U9" s="5" t="s">
        <v>11</v>
      </c>
    </row>
    <row r="10" spans="1:21" x14ac:dyDescent="0.25">
      <c r="A10" s="3">
        <v>7</v>
      </c>
      <c r="B10" s="4" t="s">
        <v>16</v>
      </c>
      <c r="C10" s="3">
        <v>70</v>
      </c>
      <c r="D10" s="3">
        <v>65</v>
      </c>
      <c r="E10" s="3">
        <f t="shared" si="1"/>
        <v>135</v>
      </c>
      <c r="F10" s="5" t="s">
        <v>9</v>
      </c>
      <c r="H10" s="3">
        <v>7</v>
      </c>
      <c r="I10" s="4" t="s">
        <v>16</v>
      </c>
      <c r="J10" s="3">
        <v>70</v>
      </c>
      <c r="K10" s="3">
        <v>65</v>
      </c>
      <c r="L10" s="3">
        <f t="shared" si="0"/>
        <v>135</v>
      </c>
      <c r="M10" s="5" t="s">
        <v>9</v>
      </c>
      <c r="O10" s="3">
        <v>7</v>
      </c>
      <c r="P10" s="4" t="s">
        <v>16</v>
      </c>
      <c r="Q10" s="3">
        <v>70</v>
      </c>
      <c r="R10" s="3">
        <v>65</v>
      </c>
      <c r="S10" s="3">
        <v>94</v>
      </c>
      <c r="T10" s="3">
        <f t="shared" si="2"/>
        <v>229</v>
      </c>
      <c r="U10" s="5" t="s">
        <v>9</v>
      </c>
    </row>
    <row r="11" spans="1:21" x14ac:dyDescent="0.25">
      <c r="A11" s="3">
        <v>8</v>
      </c>
      <c r="B11" s="4" t="s">
        <v>17</v>
      </c>
      <c r="C11" s="3">
        <v>93</v>
      </c>
      <c r="D11" s="3">
        <v>81</v>
      </c>
      <c r="E11" s="3">
        <f t="shared" si="1"/>
        <v>174</v>
      </c>
      <c r="F11" s="5" t="s">
        <v>7</v>
      </c>
      <c r="H11" s="3">
        <v>8</v>
      </c>
      <c r="I11" s="4" t="s">
        <v>17</v>
      </c>
      <c r="J11" s="3">
        <v>93</v>
      </c>
      <c r="K11" s="3">
        <v>81</v>
      </c>
      <c r="L11" s="3">
        <f t="shared" si="0"/>
        <v>174</v>
      </c>
      <c r="M11" s="5" t="s">
        <v>7</v>
      </c>
      <c r="O11" s="3">
        <v>8</v>
      </c>
      <c r="P11" s="4" t="s">
        <v>17</v>
      </c>
      <c r="Q11" s="3">
        <v>93</v>
      </c>
      <c r="R11" s="3">
        <v>81</v>
      </c>
      <c r="S11" s="3">
        <v>96</v>
      </c>
      <c r="T11" s="3">
        <f t="shared" si="2"/>
        <v>270</v>
      </c>
      <c r="U11" s="5" t="s">
        <v>7</v>
      </c>
    </row>
    <row r="12" spans="1:21" x14ac:dyDescent="0.25">
      <c r="A12" s="3">
        <v>9</v>
      </c>
      <c r="B12" s="4" t="s">
        <v>18</v>
      </c>
      <c r="C12" s="3">
        <v>33</v>
      </c>
      <c r="D12" s="3">
        <v>87</v>
      </c>
      <c r="E12" s="3">
        <f t="shared" si="1"/>
        <v>120</v>
      </c>
      <c r="F12" s="5" t="s">
        <v>11</v>
      </c>
      <c r="H12" s="3">
        <v>9</v>
      </c>
      <c r="I12" s="4" t="s">
        <v>18</v>
      </c>
      <c r="J12" s="3">
        <v>33</v>
      </c>
      <c r="K12" s="3">
        <v>87</v>
      </c>
      <c r="L12" s="3">
        <f t="shared" si="0"/>
        <v>120</v>
      </c>
      <c r="M12" s="5" t="s">
        <v>11</v>
      </c>
      <c r="O12" s="3">
        <v>9</v>
      </c>
      <c r="P12" s="4" t="s">
        <v>18</v>
      </c>
      <c r="Q12" s="3">
        <v>33</v>
      </c>
      <c r="R12" s="3">
        <v>87</v>
      </c>
      <c r="S12" s="3">
        <v>97</v>
      </c>
      <c r="T12" s="3">
        <f t="shared" si="2"/>
        <v>217</v>
      </c>
      <c r="U12" s="5" t="s">
        <v>11</v>
      </c>
    </row>
    <row r="13" spans="1:21" x14ac:dyDescent="0.25">
      <c r="A13" s="3">
        <v>10</v>
      </c>
      <c r="B13" s="3" t="s">
        <v>19</v>
      </c>
      <c r="C13" s="3">
        <v>100</v>
      </c>
      <c r="D13" s="3">
        <v>96</v>
      </c>
      <c r="E13" s="3">
        <f t="shared" si="1"/>
        <v>196</v>
      </c>
      <c r="F13" s="5" t="s">
        <v>7</v>
      </c>
      <c r="H13" s="3">
        <v>10</v>
      </c>
      <c r="I13" s="3" t="s">
        <v>19</v>
      </c>
      <c r="J13" s="3">
        <v>100</v>
      </c>
      <c r="K13" s="3">
        <v>96</v>
      </c>
      <c r="L13" s="3">
        <f t="shared" si="0"/>
        <v>196</v>
      </c>
      <c r="M13" s="5" t="s">
        <v>7</v>
      </c>
      <c r="O13" s="3">
        <v>10</v>
      </c>
      <c r="P13" s="3" t="s">
        <v>19</v>
      </c>
      <c r="Q13" s="3">
        <v>100</v>
      </c>
      <c r="R13" s="3">
        <v>96</v>
      </c>
      <c r="S13" s="3">
        <v>99</v>
      </c>
      <c r="T13" s="3">
        <f t="shared" si="2"/>
        <v>295</v>
      </c>
      <c r="U13" s="5" t="s">
        <v>7</v>
      </c>
    </row>
    <row r="14" spans="1:21" x14ac:dyDescent="0.25">
      <c r="A14" s="9" t="s">
        <v>20</v>
      </c>
      <c r="B14" s="9"/>
      <c r="C14" s="8">
        <f>AVERAGE(C4:C13)</f>
        <v>71.400000000000006</v>
      </c>
      <c r="D14" s="8">
        <f>AVERAGE(D4:D13)</f>
        <v>70.2</v>
      </c>
      <c r="E14" s="8">
        <f>AVERAGE(E4:E13)</f>
        <v>141.6</v>
      </c>
      <c r="F14" s="3"/>
      <c r="H14" s="10" t="s">
        <v>20</v>
      </c>
      <c r="I14" s="10"/>
      <c r="J14" s="8">
        <f>AVERAGE(J4:J13)</f>
        <v>71.400000000000006</v>
      </c>
      <c r="K14" s="8">
        <f>AVERAGE(K4:K13)</f>
        <v>70.2</v>
      </c>
      <c r="L14" s="8">
        <f>AVERAGE(L4:L13)</f>
        <v>141.6</v>
      </c>
      <c r="M14" s="3"/>
      <c r="O14" s="11" t="s">
        <v>20</v>
      </c>
      <c r="P14" s="11"/>
      <c r="Q14" s="8">
        <f>AVERAGE(Q4:Q13)</f>
        <v>71.400000000000006</v>
      </c>
      <c r="R14" s="8">
        <f>AVERAGE(R4:R13)</f>
        <v>70.2</v>
      </c>
      <c r="S14" s="8">
        <f>AVERAGE(S4:S13)</f>
        <v>94.1</v>
      </c>
      <c r="T14" s="8">
        <f>AVERAGE(T4:T13)</f>
        <v>235.7</v>
      </c>
      <c r="U14" s="3"/>
    </row>
  </sheetData>
  <mergeCells count="3">
    <mergeCell ref="A14:B14"/>
    <mergeCell ref="H14:I14"/>
    <mergeCell ref="O14:P14"/>
  </mergeCells>
  <phoneticPr fontId="4" type="noConversion"/>
  <pageMargins left="0.75" right="0.75" top="1" bottom="1" header="0.5" footer="0.5"/>
  <pageSetup paperSize="12" scale="87" orientation="landscape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3教科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cp:lastPrinted>2010-06-08T08:44:43Z</cp:lastPrinted>
  <dcterms:created xsi:type="dcterms:W3CDTF">2009-08-21T04:47:54Z</dcterms:created>
  <dcterms:modified xsi:type="dcterms:W3CDTF">2021-03-26T15:30:17Z</dcterms:modified>
</cp:coreProperties>
</file>