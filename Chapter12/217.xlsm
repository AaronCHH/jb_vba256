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chartsheets/sheet2.xml" ContentType="application/vnd.openxmlformats-officedocument.spreadsheetml.chart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 defaultThemeVersion="124226"/>
  <bookViews>
    <workbookView xWindow="120" yWindow="105" windowWidth="14955" windowHeight="9120" firstSheet="2" activeTab="3"/>
  </bookViews>
  <sheets>
    <sheet name="綜合" sheetId="1" state="hidden" r:id="rId1"/>
    <sheet name="綜合G" sheetId="4" state="hidden" r:id="rId2"/>
    <sheet name="3教科" sheetId="2" r:id="rId3"/>
    <sheet name="圖表" sheetId="6" r:id="rId4"/>
    <sheet name="Sheet2" sheetId="8" r:id="rId5"/>
    <sheet name="Sheet3" sheetId="3" r:id="rId6"/>
  </sheets>
  <calcPr calcId="144525"/>
</workbook>
</file>

<file path=xl/calcChain.xml><?xml version="1.0" encoding="utf-8"?>
<calcChain xmlns="http://schemas.openxmlformats.org/spreadsheetml/2006/main">
  <c r="E46" i="2" l="1"/>
  <c r="D46" i="2"/>
  <c r="C46" i="2"/>
  <c r="F45" i="2"/>
  <c r="F44" i="2"/>
  <c r="F43" i="2"/>
  <c r="F42" i="2"/>
  <c r="F41" i="2"/>
  <c r="F40" i="2"/>
  <c r="F39" i="2"/>
  <c r="F38" i="2"/>
  <c r="F37" i="2"/>
  <c r="F36" i="2"/>
  <c r="F46" i="2" s="1"/>
  <c r="D30" i="2"/>
  <c r="C30" i="2"/>
  <c r="E29" i="2"/>
  <c r="E28" i="2"/>
  <c r="E27" i="2"/>
  <c r="E26" i="2"/>
  <c r="E25" i="2"/>
  <c r="E24" i="2"/>
  <c r="E23" i="2"/>
  <c r="E22" i="2"/>
  <c r="E21" i="2"/>
  <c r="E20" i="2"/>
  <c r="E30" i="2" s="1"/>
  <c r="D14" i="2"/>
  <c r="C14" i="2"/>
  <c r="E13" i="2"/>
  <c r="E12" i="2"/>
  <c r="E11" i="2"/>
  <c r="E10" i="2"/>
  <c r="E9" i="2"/>
  <c r="E8" i="2"/>
  <c r="E7" i="2"/>
  <c r="E6" i="2"/>
  <c r="E5" i="2"/>
  <c r="E4" i="2"/>
  <c r="E14" i="2" s="1"/>
  <c r="D14" i="1"/>
  <c r="E14" i="1"/>
  <c r="F4" i="1"/>
  <c r="F5" i="1"/>
  <c r="F6" i="1"/>
  <c r="F7" i="1"/>
  <c r="F8" i="1"/>
  <c r="F9" i="1"/>
  <c r="F10" i="1"/>
  <c r="F11" i="1"/>
  <c r="F14" i="1" s="1"/>
  <c r="F12" i="1"/>
  <c r="F13" i="1"/>
  <c r="C14" i="1"/>
</calcChain>
</file>

<file path=xl/sharedStrings.xml><?xml version="1.0" encoding="utf-8"?>
<sst xmlns="http://schemas.openxmlformats.org/spreadsheetml/2006/main" count="103" uniqueCount="36">
  <si>
    <t>1班</t>
    <phoneticPr fontId="2" type="noConversion"/>
  </si>
  <si>
    <t>姓名</t>
    <phoneticPr fontId="2" type="noConversion"/>
  </si>
  <si>
    <t>國語</t>
    <phoneticPr fontId="2" type="noConversion"/>
  </si>
  <si>
    <t>數學</t>
    <phoneticPr fontId="2" type="noConversion"/>
  </si>
  <si>
    <t>英語</t>
    <phoneticPr fontId="2" type="noConversion"/>
  </si>
  <si>
    <t>合計</t>
    <phoneticPr fontId="2" type="noConversion"/>
  </si>
  <si>
    <t>陳 大同</t>
    <phoneticPr fontId="2" type="noConversion"/>
  </si>
  <si>
    <t>黃 小霞</t>
    <phoneticPr fontId="2" type="noConversion"/>
  </si>
  <si>
    <t>張 大軍</t>
    <phoneticPr fontId="2" type="noConversion"/>
  </si>
  <si>
    <t>吳 小美</t>
    <phoneticPr fontId="2" type="noConversion"/>
  </si>
  <si>
    <t>周 大鈞</t>
    <phoneticPr fontId="2" type="noConversion"/>
  </si>
  <si>
    <t>張 小梅</t>
    <phoneticPr fontId="2" type="noConversion"/>
  </si>
  <si>
    <t>周 大飛</t>
    <phoneticPr fontId="2" type="noConversion"/>
  </si>
  <si>
    <t>何 小燕</t>
    <phoneticPr fontId="2" type="noConversion"/>
  </si>
  <si>
    <t>吳 大同</t>
    <phoneticPr fontId="2" type="noConversion"/>
  </si>
  <si>
    <t>蔡 小名</t>
    <phoneticPr fontId="2" type="noConversion"/>
  </si>
  <si>
    <t>3教科綜合結果</t>
    <phoneticPr fontId="2" type="noConversion"/>
  </si>
  <si>
    <t>平均分數</t>
    <phoneticPr fontId="2" type="noConversion"/>
  </si>
  <si>
    <t>國語能力測試結果</t>
    <phoneticPr fontId="2" type="noConversion"/>
  </si>
  <si>
    <t>編號</t>
    <phoneticPr fontId="2" type="noConversion"/>
  </si>
  <si>
    <t>現代</t>
    <phoneticPr fontId="2" type="noConversion"/>
  </si>
  <si>
    <t>古文</t>
    <phoneticPr fontId="2" type="noConversion"/>
  </si>
  <si>
    <t>得分</t>
    <phoneticPr fontId="2" type="noConversion"/>
  </si>
  <si>
    <t>評價</t>
    <phoneticPr fontId="2" type="noConversion"/>
  </si>
  <si>
    <t>A</t>
    <phoneticPr fontId="2" type="noConversion"/>
  </si>
  <si>
    <t>C</t>
    <phoneticPr fontId="2" type="noConversion"/>
  </si>
  <si>
    <t>D</t>
    <phoneticPr fontId="2" type="noConversion"/>
  </si>
  <si>
    <t>B</t>
    <phoneticPr fontId="2" type="noConversion"/>
  </si>
  <si>
    <t>黃 大敏</t>
    <phoneticPr fontId="2" type="noConversion"/>
  </si>
  <si>
    <t>英語能力測試結果</t>
    <phoneticPr fontId="2" type="noConversion"/>
  </si>
  <si>
    <t>聽力</t>
    <phoneticPr fontId="2" type="noConversion"/>
  </si>
  <si>
    <t>讀解</t>
    <phoneticPr fontId="2" type="noConversion"/>
  </si>
  <si>
    <t>數學能力測試結果</t>
    <phoneticPr fontId="2" type="noConversion"/>
  </si>
  <si>
    <t>公式</t>
    <phoneticPr fontId="2" type="noConversion"/>
  </si>
  <si>
    <t>統計</t>
    <phoneticPr fontId="2" type="noConversion"/>
  </si>
  <si>
    <t>圖形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</si>
</sst>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.00_ "/>
  </numFmts>
  <fonts count="5">
    <font>
      <sz val="12"/>
      <name val="新細明體"/>
      <family val="1"/>
      <charset val="136"/>
    </font>
    <font>
      <sz val="12"/>
      <name val="新細明體"/>
      <family val="1"/>
      <charset val="136"/>
    </font>
    <font>
      <sz val="9"/>
      <name val="新細明體"/>
      <family val="1"/>
      <charset val="136"/>
    </font>
    <font>
      <b/>
      <sz val="12"/>
      <color indexed="9"/>
      <name val="新細明體"/>
      <family val="1"/>
      <charset val="136"/>
    </font>
    <font>
      <sz val="12"/>
      <color indexed="8"/>
      <name val="新細明體"/>
      <family val="1"/>
      <charset val="136"/>
    </font>
  </fonts>
  <fills count="7">
    <fill>
      <patternFill patternType="none"/>
    </fill>
    <fill>
      <patternFill patternType="gray125"/>
    </fill>
    <fill>
      <patternFill patternType="solid">
        <fgColor indexed="10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1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20">
    <xf numFmtId="0" fontId="0" fillId="0" borderId="0" xfId="0">
      <alignment vertical="center"/>
    </xf>
    <xf numFmtId="0" fontId="0" fillId="0" borderId="1" xfId="0" applyBorder="1" applyAlignment="1">
      <alignment horizontal="right" vertical="center"/>
    </xf>
    <xf numFmtId="0" fontId="1" fillId="0" borderId="0" xfId="0" applyFont="1" applyFill="1" applyBorder="1">
      <alignment vertical="center"/>
    </xf>
    <xf numFmtId="0" fontId="1" fillId="0" borderId="0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0" fillId="3" borderId="1" xfId="0" applyFill="1" applyBorder="1">
      <alignment vertical="center"/>
    </xf>
    <xf numFmtId="0" fontId="0" fillId="3" borderId="1" xfId="0" applyFill="1" applyBorder="1" applyAlignment="1">
      <alignment horizontal="right" vertical="center"/>
    </xf>
    <xf numFmtId="0" fontId="4" fillId="0" borderId="0" xfId="0" applyFont="1">
      <alignment vertical="center"/>
    </xf>
    <xf numFmtId="0" fontId="4" fillId="4" borderId="1" xfId="0" applyFont="1" applyFill="1" applyBorder="1" applyAlignment="1">
      <alignment horizontal="center" vertical="center"/>
    </xf>
    <xf numFmtId="0" fontId="4" fillId="0" borderId="1" xfId="0" applyFont="1" applyBorder="1">
      <alignment vertical="center"/>
    </xf>
    <xf numFmtId="0" fontId="0" fillId="0" borderId="1" xfId="0" applyBorder="1">
      <alignment vertical="center"/>
    </xf>
    <xf numFmtId="0" fontId="4" fillId="0" borderId="1" xfId="0" applyFont="1" applyBorder="1" applyAlignment="1">
      <alignment horizontal="center" vertical="center"/>
    </xf>
    <xf numFmtId="176" fontId="4" fillId="0" borderId="1" xfId="0" applyNumberFormat="1" applyFont="1" applyBorder="1">
      <alignment vertical="center"/>
    </xf>
    <xf numFmtId="0" fontId="4" fillId="5" borderId="1" xfId="0" applyFont="1" applyFill="1" applyBorder="1" applyAlignment="1">
      <alignment horizontal="center" vertical="center"/>
    </xf>
    <xf numFmtId="0" fontId="4" fillId="6" borderId="1" xfId="0" applyFont="1" applyFill="1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0" fontId="3" fillId="2" borderId="3" xfId="0" applyFont="1" applyFill="1" applyBorder="1" applyAlignment="1">
      <alignment horizontal="center" vertical="center"/>
    </xf>
    <xf numFmtId="0" fontId="4" fillId="4" borderId="1" xfId="0" applyFont="1" applyFill="1" applyBorder="1" applyAlignment="1">
      <alignment horizontal="center" vertical="center"/>
    </xf>
    <xf numFmtId="0" fontId="4" fillId="5" borderId="1" xfId="0" applyFont="1" applyFill="1" applyBorder="1" applyAlignment="1">
      <alignment horizontal="center" vertical="center"/>
    </xf>
    <xf numFmtId="0" fontId="4" fillId="6" borderId="1" xfId="0" applyFont="1" applyFill="1" applyBorder="1" applyAlignment="1">
      <alignment horizontal="center" vertical="center"/>
    </xf>
  </cellXfs>
  <cellStyles count="1">
    <cellStyle name="一般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2.xml"/><Relationship Id="rId7" Type="http://schemas.openxmlformats.org/officeDocument/2006/relationships/theme" Target="theme/theme1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4.xml"/><Relationship Id="rId11" Type="http://schemas.microsoft.com/office/2006/relationships/vbaProject" Target="vbaProject.bin"/><Relationship Id="rId5" Type="http://schemas.openxmlformats.org/officeDocument/2006/relationships/worksheet" Target="worksheets/sheet3.xml"/><Relationship Id="rId10" Type="http://schemas.openxmlformats.org/officeDocument/2006/relationships/calcChain" Target="calcChain.xml"/><Relationship Id="rId4" Type="http://schemas.openxmlformats.org/officeDocument/2006/relationships/chartsheet" Target="chartsheets/sheet2.xml"/><Relationship Id="rId9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綜合!$C$3</c:f>
              <c:strCache>
                <c:ptCount val="1"/>
                <c:pt idx="0">
                  <c:v>國語</c:v>
                </c:pt>
              </c:strCache>
            </c:strRef>
          </c:tx>
          <c:invertIfNegative val="0"/>
          <c:cat>
            <c:strRef>
              <c:f>綜合!$B$4:$B$13</c:f>
              <c:strCache>
                <c:ptCount val="10"/>
                <c:pt idx="0">
                  <c:v>陳 大同</c:v>
                </c:pt>
                <c:pt idx="1">
                  <c:v>黃 小霞</c:v>
                </c:pt>
                <c:pt idx="2">
                  <c:v>張 大軍</c:v>
                </c:pt>
                <c:pt idx="3">
                  <c:v>吳 小美</c:v>
                </c:pt>
                <c:pt idx="4">
                  <c:v>周 大鈞</c:v>
                </c:pt>
                <c:pt idx="5">
                  <c:v>張 小梅</c:v>
                </c:pt>
                <c:pt idx="6">
                  <c:v>周 大飛</c:v>
                </c:pt>
                <c:pt idx="7">
                  <c:v>何 小燕</c:v>
                </c:pt>
                <c:pt idx="8">
                  <c:v>吳 大同</c:v>
                </c:pt>
                <c:pt idx="9">
                  <c:v>蔡 小名</c:v>
                </c:pt>
              </c:strCache>
            </c:strRef>
          </c:cat>
          <c:val>
            <c:numRef>
              <c:f>綜合!$C$4:$C$13</c:f>
              <c:numCache>
                <c:formatCode>G/通用格式</c:formatCode>
                <c:ptCount val="10"/>
                <c:pt idx="0">
                  <c:v>169</c:v>
                </c:pt>
                <c:pt idx="1">
                  <c:v>182</c:v>
                </c:pt>
                <c:pt idx="2">
                  <c:v>130</c:v>
                </c:pt>
                <c:pt idx="3">
                  <c:v>102</c:v>
                </c:pt>
                <c:pt idx="4">
                  <c:v>128</c:v>
                </c:pt>
                <c:pt idx="5">
                  <c:v>150</c:v>
                </c:pt>
                <c:pt idx="6">
                  <c:v>159</c:v>
                </c:pt>
                <c:pt idx="7">
                  <c:v>144</c:v>
                </c:pt>
                <c:pt idx="8">
                  <c:v>135</c:v>
                </c:pt>
                <c:pt idx="9">
                  <c:v>108</c:v>
                </c:pt>
              </c:numCache>
            </c:numRef>
          </c:val>
        </c:ser>
        <c:ser>
          <c:idx val="1"/>
          <c:order val="1"/>
          <c:tx>
            <c:strRef>
              <c:f>綜合!$D$3</c:f>
              <c:strCache>
                <c:ptCount val="1"/>
                <c:pt idx="0">
                  <c:v>英語</c:v>
                </c:pt>
              </c:strCache>
            </c:strRef>
          </c:tx>
          <c:invertIfNegative val="0"/>
          <c:cat>
            <c:strRef>
              <c:f>綜合!$B$4:$B$13</c:f>
              <c:strCache>
                <c:ptCount val="10"/>
                <c:pt idx="0">
                  <c:v>陳 大同</c:v>
                </c:pt>
                <c:pt idx="1">
                  <c:v>黃 小霞</c:v>
                </c:pt>
                <c:pt idx="2">
                  <c:v>張 大軍</c:v>
                </c:pt>
                <c:pt idx="3">
                  <c:v>吳 小美</c:v>
                </c:pt>
                <c:pt idx="4">
                  <c:v>周 大鈞</c:v>
                </c:pt>
                <c:pt idx="5">
                  <c:v>張 小梅</c:v>
                </c:pt>
                <c:pt idx="6">
                  <c:v>周 大飛</c:v>
                </c:pt>
                <c:pt idx="7">
                  <c:v>何 小燕</c:v>
                </c:pt>
                <c:pt idx="8">
                  <c:v>吳 大同</c:v>
                </c:pt>
                <c:pt idx="9">
                  <c:v>蔡 小名</c:v>
                </c:pt>
              </c:strCache>
            </c:strRef>
          </c:cat>
          <c:val>
            <c:numRef>
              <c:f>綜合!$D$4:$D$13</c:f>
              <c:numCache>
                <c:formatCode>G/通用格式</c:formatCode>
                <c:ptCount val="10"/>
                <c:pt idx="0">
                  <c:v>160</c:v>
                </c:pt>
                <c:pt idx="1">
                  <c:v>138</c:v>
                </c:pt>
                <c:pt idx="2">
                  <c:v>125</c:v>
                </c:pt>
                <c:pt idx="3">
                  <c:v>149</c:v>
                </c:pt>
                <c:pt idx="4">
                  <c:v>156</c:v>
                </c:pt>
                <c:pt idx="5">
                  <c:v>180</c:v>
                </c:pt>
                <c:pt idx="6">
                  <c:v>182</c:v>
                </c:pt>
                <c:pt idx="7">
                  <c:v>174</c:v>
                </c:pt>
                <c:pt idx="8">
                  <c:v>144</c:v>
                </c:pt>
                <c:pt idx="9">
                  <c:v>196</c:v>
                </c:pt>
              </c:numCache>
            </c:numRef>
          </c:val>
        </c:ser>
        <c:ser>
          <c:idx val="2"/>
          <c:order val="2"/>
          <c:tx>
            <c:strRef>
              <c:f>綜合!$E$3</c:f>
              <c:strCache>
                <c:ptCount val="1"/>
                <c:pt idx="0">
                  <c:v>數學</c:v>
                </c:pt>
              </c:strCache>
            </c:strRef>
          </c:tx>
          <c:invertIfNegative val="0"/>
          <c:cat>
            <c:strRef>
              <c:f>綜合!$B$4:$B$13</c:f>
              <c:strCache>
                <c:ptCount val="10"/>
                <c:pt idx="0">
                  <c:v>陳 大同</c:v>
                </c:pt>
                <c:pt idx="1">
                  <c:v>黃 小霞</c:v>
                </c:pt>
                <c:pt idx="2">
                  <c:v>張 大軍</c:v>
                </c:pt>
                <c:pt idx="3">
                  <c:v>吳 小美</c:v>
                </c:pt>
                <c:pt idx="4">
                  <c:v>周 大鈞</c:v>
                </c:pt>
                <c:pt idx="5">
                  <c:v>張 小梅</c:v>
                </c:pt>
                <c:pt idx="6">
                  <c:v>周 大飛</c:v>
                </c:pt>
                <c:pt idx="7">
                  <c:v>何 小燕</c:v>
                </c:pt>
                <c:pt idx="8">
                  <c:v>吳 大同</c:v>
                </c:pt>
                <c:pt idx="9">
                  <c:v>蔡 小名</c:v>
                </c:pt>
              </c:strCache>
            </c:strRef>
          </c:cat>
          <c:val>
            <c:numRef>
              <c:f>綜合!$E$4:$E$13</c:f>
              <c:numCache>
                <c:formatCode>G/通用格式</c:formatCode>
                <c:ptCount val="10"/>
                <c:pt idx="0">
                  <c:v>208</c:v>
                </c:pt>
                <c:pt idx="1">
                  <c:v>220</c:v>
                </c:pt>
                <c:pt idx="2">
                  <c:v>188</c:v>
                </c:pt>
                <c:pt idx="3">
                  <c:v>277</c:v>
                </c:pt>
                <c:pt idx="4">
                  <c:v>172</c:v>
                </c:pt>
                <c:pt idx="5">
                  <c:v>280</c:v>
                </c:pt>
                <c:pt idx="6">
                  <c:v>137</c:v>
                </c:pt>
                <c:pt idx="7">
                  <c:v>186</c:v>
                </c:pt>
                <c:pt idx="8">
                  <c:v>218</c:v>
                </c:pt>
                <c:pt idx="9">
                  <c:v>271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6472704"/>
        <c:axId val="76474240"/>
      </c:barChart>
      <c:catAx>
        <c:axId val="76472704"/>
        <c:scaling>
          <c:orientation val="minMax"/>
        </c:scaling>
        <c:delete val="0"/>
        <c:axPos val="b"/>
        <c:majorGridlines/>
        <c:majorTickMark val="out"/>
        <c:minorTickMark val="none"/>
        <c:tickLblPos val="nextTo"/>
        <c:crossAx val="76474240"/>
        <c:crosses val="autoZero"/>
        <c:auto val="1"/>
        <c:lblAlgn val="ctr"/>
        <c:lblOffset val="100"/>
        <c:noMultiLvlLbl val="0"/>
      </c:catAx>
      <c:valAx>
        <c:axId val="76474240"/>
        <c:scaling>
          <c:orientation val="minMax"/>
        </c:scaling>
        <c:delete val="0"/>
        <c:axPos val="l"/>
        <c:majorGridlines/>
        <c:numFmt formatCode="G/通用格式" sourceLinked="1"/>
        <c:majorTickMark val="cross"/>
        <c:minorTickMark val="none"/>
        <c:tickLblPos val="nextTo"/>
        <c:crossAx val="7647270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'3教科'!$C$3</c:f>
              <c:strCache>
                <c:ptCount val="1"/>
                <c:pt idx="0">
                  <c:v>現代</c:v>
                </c:pt>
              </c:strCache>
            </c:strRef>
          </c:tx>
          <c:invertIfNegative val="0"/>
          <c:cat>
            <c:strRef>
              <c:f>'3教科'!$B$4:$B$13</c:f>
              <c:strCache>
                <c:ptCount val="10"/>
                <c:pt idx="0">
                  <c:v>陳 大同</c:v>
                </c:pt>
                <c:pt idx="1">
                  <c:v>黃 小霞</c:v>
                </c:pt>
                <c:pt idx="2">
                  <c:v>張 大軍</c:v>
                </c:pt>
                <c:pt idx="3">
                  <c:v>吳 小美</c:v>
                </c:pt>
                <c:pt idx="4">
                  <c:v>張 小梅</c:v>
                </c:pt>
                <c:pt idx="5">
                  <c:v>周 大飛</c:v>
                </c:pt>
                <c:pt idx="6">
                  <c:v>何 小燕</c:v>
                </c:pt>
                <c:pt idx="7">
                  <c:v>吳 大同</c:v>
                </c:pt>
                <c:pt idx="8">
                  <c:v>蔡 小名</c:v>
                </c:pt>
                <c:pt idx="9">
                  <c:v>黃 大敏</c:v>
                </c:pt>
              </c:strCache>
            </c:strRef>
          </c:cat>
          <c:val>
            <c:numRef>
              <c:f>'3教科'!$C$4:$C$13</c:f>
              <c:numCache>
                <c:formatCode>G/通用格式</c:formatCode>
                <c:ptCount val="10"/>
                <c:pt idx="0">
                  <c:v>96</c:v>
                </c:pt>
                <c:pt idx="1">
                  <c:v>88</c:v>
                </c:pt>
                <c:pt idx="2">
                  <c:v>23</c:v>
                </c:pt>
                <c:pt idx="3">
                  <c:v>91</c:v>
                </c:pt>
                <c:pt idx="4">
                  <c:v>63</c:v>
                </c:pt>
                <c:pt idx="5">
                  <c:v>57</c:v>
                </c:pt>
                <c:pt idx="6">
                  <c:v>70</c:v>
                </c:pt>
                <c:pt idx="7">
                  <c:v>93</c:v>
                </c:pt>
                <c:pt idx="8">
                  <c:v>33</c:v>
                </c:pt>
                <c:pt idx="9">
                  <c:v>100</c:v>
                </c:pt>
              </c:numCache>
            </c:numRef>
          </c:val>
        </c:ser>
        <c:ser>
          <c:idx val="1"/>
          <c:order val="1"/>
          <c:tx>
            <c:strRef>
              <c:f>'3教科'!$D$3</c:f>
              <c:strCache>
                <c:ptCount val="1"/>
                <c:pt idx="0">
                  <c:v>古文</c:v>
                </c:pt>
              </c:strCache>
            </c:strRef>
          </c:tx>
          <c:invertIfNegative val="0"/>
          <c:cat>
            <c:strRef>
              <c:f>'3教科'!$B$4:$B$13</c:f>
              <c:strCache>
                <c:ptCount val="10"/>
                <c:pt idx="0">
                  <c:v>陳 大同</c:v>
                </c:pt>
                <c:pt idx="1">
                  <c:v>黃 小霞</c:v>
                </c:pt>
                <c:pt idx="2">
                  <c:v>張 大軍</c:v>
                </c:pt>
                <c:pt idx="3">
                  <c:v>吳 小美</c:v>
                </c:pt>
                <c:pt idx="4">
                  <c:v>張 小梅</c:v>
                </c:pt>
                <c:pt idx="5">
                  <c:v>周 大飛</c:v>
                </c:pt>
                <c:pt idx="6">
                  <c:v>何 小燕</c:v>
                </c:pt>
                <c:pt idx="7">
                  <c:v>吳 大同</c:v>
                </c:pt>
                <c:pt idx="8">
                  <c:v>蔡 小名</c:v>
                </c:pt>
                <c:pt idx="9">
                  <c:v>黃 大敏</c:v>
                </c:pt>
              </c:strCache>
            </c:strRef>
          </c:cat>
          <c:val>
            <c:numRef>
              <c:f>'3教科'!$D$4:$D$13</c:f>
              <c:numCache>
                <c:formatCode>G/通用格式</c:formatCode>
                <c:ptCount val="10"/>
                <c:pt idx="0">
                  <c:v>88</c:v>
                </c:pt>
                <c:pt idx="1">
                  <c:v>42</c:v>
                </c:pt>
                <c:pt idx="2">
                  <c:v>45</c:v>
                </c:pt>
                <c:pt idx="3">
                  <c:v>58</c:v>
                </c:pt>
                <c:pt idx="4">
                  <c:v>93</c:v>
                </c:pt>
                <c:pt idx="5">
                  <c:v>47</c:v>
                </c:pt>
                <c:pt idx="6">
                  <c:v>65</c:v>
                </c:pt>
                <c:pt idx="7">
                  <c:v>81</c:v>
                </c:pt>
                <c:pt idx="8">
                  <c:v>87</c:v>
                </c:pt>
                <c:pt idx="9">
                  <c:v>96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0577280"/>
        <c:axId val="76455936"/>
      </c:barChart>
      <c:catAx>
        <c:axId val="100577280"/>
        <c:scaling>
          <c:orientation val="minMax"/>
        </c:scaling>
        <c:delete val="0"/>
        <c:axPos val="b"/>
        <c:majorGridlines/>
        <c:majorTickMark val="out"/>
        <c:minorTickMark val="none"/>
        <c:tickLblPos val="nextTo"/>
        <c:crossAx val="76455936"/>
        <c:crosses val="autoZero"/>
        <c:auto val="1"/>
        <c:lblAlgn val="ctr"/>
        <c:lblOffset val="100"/>
        <c:noMultiLvlLbl val="0"/>
      </c:catAx>
      <c:valAx>
        <c:axId val="76455936"/>
        <c:scaling>
          <c:orientation val="minMax"/>
        </c:scaling>
        <c:delete val="0"/>
        <c:axPos val="l"/>
        <c:majorGridlines/>
        <c:numFmt formatCode="G/通用格式" sourceLinked="1"/>
        <c:majorTickMark val="cross"/>
        <c:minorTickMark val="none"/>
        <c:tickLblPos val="nextTo"/>
        <c:crossAx val="100577280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Chart4"/>
  <sheetViews>
    <sheetView zoomScale="84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>
  <sheetPr codeName="Chart6"/>
  <sheetViews>
    <sheetView tabSelected="1" zoomScale="62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309554" cy="6077857"/>
    <xdr:graphicFrame macro="">
      <xdr:nvGraphicFramePr>
        <xdr:cNvPr id="2" name="圖表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9309919" cy="6083710"/>
    <xdr:graphicFrame macro="">
      <xdr:nvGraphicFramePr>
        <xdr:cNvPr id="2" name="圖表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14"/>
  <sheetViews>
    <sheetView workbookViewId="0"/>
  </sheetViews>
  <sheetFormatPr defaultRowHeight="16.5" customHeight="1"/>
  <cols>
    <col min="1" max="1" width="8.75" customWidth="1"/>
    <col min="2" max="2" width="12.625" customWidth="1"/>
    <col min="3" max="3" width="8.625" customWidth="1"/>
    <col min="4" max="4" width="9.625" customWidth="1"/>
    <col min="5" max="5" width="8.625" customWidth="1"/>
  </cols>
  <sheetData>
    <row r="1" spans="1:6" ht="16.5" customHeight="1">
      <c r="A1" s="2" t="s">
        <v>16</v>
      </c>
      <c r="B1" s="3"/>
    </row>
    <row r="3" spans="1:6" ht="16.5" customHeight="1">
      <c r="A3" s="4" t="s">
        <v>0</v>
      </c>
      <c r="B3" s="4" t="s">
        <v>1</v>
      </c>
      <c r="C3" s="4" t="s">
        <v>2</v>
      </c>
      <c r="D3" s="4" t="s">
        <v>4</v>
      </c>
      <c r="E3" s="4" t="s">
        <v>3</v>
      </c>
      <c r="F3" s="4" t="s">
        <v>5</v>
      </c>
    </row>
    <row r="4" spans="1:6" ht="16.5" customHeight="1">
      <c r="A4" s="5">
        <v>1</v>
      </c>
      <c r="B4" s="5" t="s">
        <v>6</v>
      </c>
      <c r="C4" s="6">
        <v>169</v>
      </c>
      <c r="D4" s="6">
        <v>160</v>
      </c>
      <c r="E4" s="6">
        <v>208</v>
      </c>
      <c r="F4" s="6">
        <f t="shared" ref="F4:F13" si="0">SUM(C4:E4)</f>
        <v>537</v>
      </c>
    </row>
    <row r="5" spans="1:6" ht="16.5" customHeight="1">
      <c r="A5" s="5">
        <v>2</v>
      </c>
      <c r="B5" s="5" t="s">
        <v>7</v>
      </c>
      <c r="C5" s="6">
        <v>182</v>
      </c>
      <c r="D5" s="6">
        <v>138</v>
      </c>
      <c r="E5" s="6">
        <v>220</v>
      </c>
      <c r="F5" s="6">
        <f t="shared" si="0"/>
        <v>540</v>
      </c>
    </row>
    <row r="6" spans="1:6" ht="16.5" customHeight="1">
      <c r="A6" s="5">
        <v>3</v>
      </c>
      <c r="B6" s="5" t="s">
        <v>8</v>
      </c>
      <c r="C6" s="6">
        <v>130</v>
      </c>
      <c r="D6" s="6">
        <v>125</v>
      </c>
      <c r="E6" s="6">
        <v>188</v>
      </c>
      <c r="F6" s="6">
        <f t="shared" si="0"/>
        <v>443</v>
      </c>
    </row>
    <row r="7" spans="1:6" ht="16.5" customHeight="1">
      <c r="A7" s="5">
        <v>4</v>
      </c>
      <c r="B7" s="5" t="s">
        <v>9</v>
      </c>
      <c r="C7" s="6">
        <v>102</v>
      </c>
      <c r="D7" s="6">
        <v>149</v>
      </c>
      <c r="E7" s="6">
        <v>277</v>
      </c>
      <c r="F7" s="6">
        <f t="shared" si="0"/>
        <v>528</v>
      </c>
    </row>
    <row r="8" spans="1:6" ht="16.5" customHeight="1">
      <c r="A8" s="5">
        <v>5</v>
      </c>
      <c r="B8" s="5" t="s">
        <v>10</v>
      </c>
      <c r="C8" s="6">
        <v>128</v>
      </c>
      <c r="D8" s="6">
        <v>156</v>
      </c>
      <c r="E8" s="6">
        <v>172</v>
      </c>
      <c r="F8" s="6">
        <f t="shared" si="0"/>
        <v>456</v>
      </c>
    </row>
    <row r="9" spans="1:6" ht="16.5" customHeight="1">
      <c r="A9" s="5">
        <v>6</v>
      </c>
      <c r="B9" s="5" t="s">
        <v>11</v>
      </c>
      <c r="C9" s="6">
        <v>150</v>
      </c>
      <c r="D9" s="6">
        <v>180</v>
      </c>
      <c r="E9" s="6">
        <v>280</v>
      </c>
      <c r="F9" s="6">
        <f t="shared" si="0"/>
        <v>610</v>
      </c>
    </row>
    <row r="10" spans="1:6" ht="16.5" customHeight="1">
      <c r="A10" s="5">
        <v>7</v>
      </c>
      <c r="B10" s="5" t="s">
        <v>12</v>
      </c>
      <c r="C10" s="6">
        <v>159</v>
      </c>
      <c r="D10" s="6">
        <v>182</v>
      </c>
      <c r="E10" s="6">
        <v>137</v>
      </c>
      <c r="F10" s="6">
        <f t="shared" si="0"/>
        <v>478</v>
      </c>
    </row>
    <row r="11" spans="1:6" ht="16.5" customHeight="1">
      <c r="A11" s="5">
        <v>8</v>
      </c>
      <c r="B11" s="5" t="s">
        <v>13</v>
      </c>
      <c r="C11" s="6">
        <v>144</v>
      </c>
      <c r="D11" s="6">
        <v>174</v>
      </c>
      <c r="E11" s="6">
        <v>186</v>
      </c>
      <c r="F11" s="6">
        <f t="shared" si="0"/>
        <v>504</v>
      </c>
    </row>
    <row r="12" spans="1:6" ht="16.5" customHeight="1">
      <c r="A12" s="5">
        <v>9</v>
      </c>
      <c r="B12" s="5" t="s">
        <v>14</v>
      </c>
      <c r="C12" s="6">
        <v>135</v>
      </c>
      <c r="D12" s="6">
        <v>144</v>
      </c>
      <c r="E12" s="6">
        <v>218</v>
      </c>
      <c r="F12" s="6">
        <f t="shared" si="0"/>
        <v>497</v>
      </c>
    </row>
    <row r="13" spans="1:6" ht="16.5" customHeight="1">
      <c r="A13" s="5">
        <v>10</v>
      </c>
      <c r="B13" s="5" t="s">
        <v>15</v>
      </c>
      <c r="C13" s="6">
        <v>108</v>
      </c>
      <c r="D13" s="6">
        <v>196</v>
      </c>
      <c r="E13" s="6">
        <v>271</v>
      </c>
      <c r="F13" s="6">
        <f t="shared" si="0"/>
        <v>575</v>
      </c>
    </row>
    <row r="14" spans="1:6" ht="16.5" customHeight="1">
      <c r="A14" s="15" t="s">
        <v>17</v>
      </c>
      <c r="B14" s="16"/>
      <c r="C14" s="1">
        <f>SUM(C4:C13)/10</f>
        <v>140.69999999999999</v>
      </c>
      <c r="D14" s="1">
        <f>SUM(D4:D13)/10</f>
        <v>160.4</v>
      </c>
      <c r="E14" s="1">
        <f>SUM(E4:E13)/10</f>
        <v>215.7</v>
      </c>
      <c r="F14" s="1">
        <f>SUM(F4:F13)/10</f>
        <v>516.79999999999995</v>
      </c>
    </row>
  </sheetData>
  <mergeCells count="1">
    <mergeCell ref="A14:B14"/>
  </mergeCells>
  <phoneticPr fontId="2" type="noConversion"/>
  <pageMargins left="0.75" right="0.75" top="1" bottom="1" header="0.5" footer="0.5"/>
  <pageSetup paperSize="9" orientation="portrait" horizontalDpi="360" verticalDpi="36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46"/>
  <sheetViews>
    <sheetView workbookViewId="0"/>
  </sheetViews>
  <sheetFormatPr defaultRowHeight="16.5"/>
  <cols>
    <col min="1" max="1" width="9" style="7"/>
    <col min="2" max="2" width="11" style="7" customWidth="1"/>
    <col min="3" max="3" width="10" style="7" customWidth="1"/>
    <col min="4" max="16384" width="9" style="7"/>
  </cols>
  <sheetData>
    <row r="1" spans="1:6">
      <c r="A1" s="7" t="s">
        <v>18</v>
      </c>
    </row>
    <row r="3" spans="1:6">
      <c r="A3" s="8" t="s">
        <v>19</v>
      </c>
      <c r="B3" s="8" t="s">
        <v>1</v>
      </c>
      <c r="C3" s="8" t="s">
        <v>20</v>
      </c>
      <c r="D3" s="8" t="s">
        <v>21</v>
      </c>
      <c r="E3" s="8" t="s">
        <v>22</v>
      </c>
      <c r="F3" s="8" t="s">
        <v>23</v>
      </c>
    </row>
    <row r="4" spans="1:6">
      <c r="A4" s="9">
        <v>1</v>
      </c>
      <c r="B4" s="10" t="s">
        <v>6</v>
      </c>
      <c r="C4" s="9">
        <v>96</v>
      </c>
      <c r="D4" s="9">
        <v>88</v>
      </c>
      <c r="E4" s="9">
        <f>SUM(C4:D4)</f>
        <v>184</v>
      </c>
      <c r="F4" s="11" t="s">
        <v>24</v>
      </c>
    </row>
    <row r="5" spans="1:6">
      <c r="A5" s="9">
        <v>2</v>
      </c>
      <c r="B5" s="10" t="s">
        <v>7</v>
      </c>
      <c r="C5" s="9">
        <v>88</v>
      </c>
      <c r="D5" s="9">
        <v>42</v>
      </c>
      <c r="E5" s="9">
        <f t="shared" ref="E5:E13" si="0">SUM(C5:D5)</f>
        <v>130</v>
      </c>
      <c r="F5" s="11" t="s">
        <v>25</v>
      </c>
    </row>
    <row r="6" spans="1:6">
      <c r="A6" s="9">
        <v>3</v>
      </c>
      <c r="B6" s="10" t="s">
        <v>8</v>
      </c>
      <c r="C6" s="9">
        <v>23</v>
      </c>
      <c r="D6" s="9">
        <v>45</v>
      </c>
      <c r="E6" s="9">
        <f t="shared" si="0"/>
        <v>68</v>
      </c>
      <c r="F6" s="11" t="s">
        <v>26</v>
      </c>
    </row>
    <row r="7" spans="1:6">
      <c r="A7" s="9">
        <v>4</v>
      </c>
      <c r="B7" s="10" t="s">
        <v>9</v>
      </c>
      <c r="C7" s="9">
        <v>91</v>
      </c>
      <c r="D7" s="9">
        <v>58</v>
      </c>
      <c r="E7" s="9">
        <f t="shared" si="0"/>
        <v>149</v>
      </c>
      <c r="F7" s="11" t="s">
        <v>27</v>
      </c>
    </row>
    <row r="8" spans="1:6">
      <c r="A8" s="9">
        <v>5</v>
      </c>
      <c r="B8" s="10" t="s">
        <v>11</v>
      </c>
      <c r="C8" s="9">
        <v>63</v>
      </c>
      <c r="D8" s="9">
        <v>93</v>
      </c>
      <c r="E8" s="9">
        <f t="shared" si="0"/>
        <v>156</v>
      </c>
      <c r="F8" s="11" t="s">
        <v>27</v>
      </c>
    </row>
    <row r="9" spans="1:6">
      <c r="A9" s="9">
        <v>6</v>
      </c>
      <c r="B9" s="10" t="s">
        <v>12</v>
      </c>
      <c r="C9" s="9">
        <v>57</v>
      </c>
      <c r="D9" s="9">
        <v>47</v>
      </c>
      <c r="E9" s="9">
        <f t="shared" si="0"/>
        <v>104</v>
      </c>
      <c r="F9" s="11" t="s">
        <v>26</v>
      </c>
    </row>
    <row r="10" spans="1:6">
      <c r="A10" s="9">
        <v>7</v>
      </c>
      <c r="B10" s="10" t="s">
        <v>13</v>
      </c>
      <c r="C10" s="9">
        <v>70</v>
      </c>
      <c r="D10" s="9">
        <v>65</v>
      </c>
      <c r="E10" s="9">
        <f t="shared" si="0"/>
        <v>135</v>
      </c>
      <c r="F10" s="11" t="s">
        <v>25</v>
      </c>
    </row>
    <row r="11" spans="1:6">
      <c r="A11" s="9">
        <v>8</v>
      </c>
      <c r="B11" s="10" t="s">
        <v>14</v>
      </c>
      <c r="C11" s="9">
        <v>93</v>
      </c>
      <c r="D11" s="9">
        <v>81</v>
      </c>
      <c r="E11" s="9">
        <f t="shared" si="0"/>
        <v>174</v>
      </c>
      <c r="F11" s="11" t="s">
        <v>24</v>
      </c>
    </row>
    <row r="12" spans="1:6">
      <c r="A12" s="9">
        <v>9</v>
      </c>
      <c r="B12" s="10" t="s">
        <v>15</v>
      </c>
      <c r="C12" s="9">
        <v>33</v>
      </c>
      <c r="D12" s="9">
        <v>87</v>
      </c>
      <c r="E12" s="9">
        <f t="shared" si="0"/>
        <v>120</v>
      </c>
      <c r="F12" s="11" t="s">
        <v>26</v>
      </c>
    </row>
    <row r="13" spans="1:6">
      <c r="A13" s="9">
        <v>10</v>
      </c>
      <c r="B13" s="9" t="s">
        <v>28</v>
      </c>
      <c r="C13" s="9">
        <v>100</v>
      </c>
      <c r="D13" s="9">
        <v>96</v>
      </c>
      <c r="E13" s="9">
        <f t="shared" si="0"/>
        <v>196</v>
      </c>
      <c r="F13" s="11" t="s">
        <v>24</v>
      </c>
    </row>
    <row r="14" spans="1:6">
      <c r="A14" s="17" t="s">
        <v>17</v>
      </c>
      <c r="B14" s="17"/>
      <c r="C14" s="12">
        <f>AVERAGE(C4:C13)</f>
        <v>71.400000000000006</v>
      </c>
      <c r="D14" s="12">
        <f>AVERAGE(D4:D13)</f>
        <v>70.2</v>
      </c>
      <c r="E14" s="12">
        <f>AVERAGE(E4:E13)</f>
        <v>141.6</v>
      </c>
      <c r="F14" s="9"/>
    </row>
    <row r="17" spans="1:6">
      <c r="A17" s="7" t="s">
        <v>29</v>
      </c>
    </row>
    <row r="19" spans="1:6">
      <c r="A19" s="13" t="s">
        <v>19</v>
      </c>
      <c r="B19" s="13" t="s">
        <v>1</v>
      </c>
      <c r="C19" s="13" t="s">
        <v>30</v>
      </c>
      <c r="D19" s="13" t="s">
        <v>31</v>
      </c>
      <c r="E19" s="13" t="s">
        <v>22</v>
      </c>
      <c r="F19" s="13" t="s">
        <v>23</v>
      </c>
    </row>
    <row r="20" spans="1:6">
      <c r="A20" s="9">
        <v>1</v>
      </c>
      <c r="B20" s="10" t="s">
        <v>6</v>
      </c>
      <c r="C20" s="9">
        <v>96</v>
      </c>
      <c r="D20" s="9">
        <v>88</v>
      </c>
      <c r="E20" s="9">
        <f t="shared" ref="E20:E29" si="1">SUM(C20:D20)</f>
        <v>184</v>
      </c>
      <c r="F20" s="11" t="s">
        <v>24</v>
      </c>
    </row>
    <row r="21" spans="1:6">
      <c r="A21" s="9">
        <v>2</v>
      </c>
      <c r="B21" s="10" t="s">
        <v>7</v>
      </c>
      <c r="C21" s="9">
        <v>88</v>
      </c>
      <c r="D21" s="9">
        <v>42</v>
      </c>
      <c r="E21" s="9">
        <f t="shared" si="1"/>
        <v>130</v>
      </c>
      <c r="F21" s="11" t="s">
        <v>25</v>
      </c>
    </row>
    <row r="22" spans="1:6">
      <c r="A22" s="9">
        <v>3</v>
      </c>
      <c r="B22" s="10" t="s">
        <v>8</v>
      </c>
      <c r="C22" s="9">
        <v>23</v>
      </c>
      <c r="D22" s="9">
        <v>45</v>
      </c>
      <c r="E22" s="9">
        <f t="shared" si="1"/>
        <v>68</v>
      </c>
      <c r="F22" s="11" t="s">
        <v>26</v>
      </c>
    </row>
    <row r="23" spans="1:6">
      <c r="A23" s="9">
        <v>4</v>
      </c>
      <c r="B23" s="10" t="s">
        <v>9</v>
      </c>
      <c r="C23" s="9">
        <v>91</v>
      </c>
      <c r="D23" s="9">
        <v>58</v>
      </c>
      <c r="E23" s="9">
        <f t="shared" si="1"/>
        <v>149</v>
      </c>
      <c r="F23" s="11" t="s">
        <v>27</v>
      </c>
    </row>
    <row r="24" spans="1:6">
      <c r="A24" s="9">
        <v>5</v>
      </c>
      <c r="B24" s="10" t="s">
        <v>11</v>
      </c>
      <c r="C24" s="9">
        <v>63</v>
      </c>
      <c r="D24" s="9">
        <v>93</v>
      </c>
      <c r="E24" s="9">
        <f t="shared" si="1"/>
        <v>156</v>
      </c>
      <c r="F24" s="11" t="s">
        <v>27</v>
      </c>
    </row>
    <row r="25" spans="1:6">
      <c r="A25" s="9">
        <v>6</v>
      </c>
      <c r="B25" s="10" t="s">
        <v>12</v>
      </c>
      <c r="C25" s="9">
        <v>57</v>
      </c>
      <c r="D25" s="9">
        <v>47</v>
      </c>
      <c r="E25" s="9">
        <f t="shared" si="1"/>
        <v>104</v>
      </c>
      <c r="F25" s="11" t="s">
        <v>26</v>
      </c>
    </row>
    <row r="26" spans="1:6">
      <c r="A26" s="9">
        <v>7</v>
      </c>
      <c r="B26" s="10" t="s">
        <v>13</v>
      </c>
      <c r="C26" s="9">
        <v>70</v>
      </c>
      <c r="D26" s="9">
        <v>65</v>
      </c>
      <c r="E26" s="9">
        <f t="shared" si="1"/>
        <v>135</v>
      </c>
      <c r="F26" s="11" t="s">
        <v>25</v>
      </c>
    </row>
    <row r="27" spans="1:6">
      <c r="A27" s="9">
        <v>8</v>
      </c>
      <c r="B27" s="10" t="s">
        <v>14</v>
      </c>
      <c r="C27" s="9">
        <v>93</v>
      </c>
      <c r="D27" s="9">
        <v>81</v>
      </c>
      <c r="E27" s="9">
        <f t="shared" si="1"/>
        <v>174</v>
      </c>
      <c r="F27" s="11" t="s">
        <v>24</v>
      </c>
    </row>
    <row r="28" spans="1:6">
      <c r="A28" s="9">
        <v>9</v>
      </c>
      <c r="B28" s="10" t="s">
        <v>15</v>
      </c>
      <c r="C28" s="9">
        <v>33</v>
      </c>
      <c r="D28" s="9">
        <v>87</v>
      </c>
      <c r="E28" s="9">
        <f t="shared" si="1"/>
        <v>120</v>
      </c>
      <c r="F28" s="11" t="s">
        <v>26</v>
      </c>
    </row>
    <row r="29" spans="1:6">
      <c r="A29" s="9">
        <v>10</v>
      </c>
      <c r="B29" s="9" t="s">
        <v>28</v>
      </c>
      <c r="C29" s="9">
        <v>100</v>
      </c>
      <c r="D29" s="9">
        <v>96</v>
      </c>
      <c r="E29" s="9">
        <f t="shared" si="1"/>
        <v>196</v>
      </c>
      <c r="F29" s="11" t="s">
        <v>24</v>
      </c>
    </row>
    <row r="30" spans="1:6">
      <c r="A30" s="18" t="s">
        <v>17</v>
      </c>
      <c r="B30" s="18"/>
      <c r="C30" s="12">
        <f>AVERAGE(C20:C29)</f>
        <v>71.400000000000006</v>
      </c>
      <c r="D30" s="12">
        <f>AVERAGE(D20:D29)</f>
        <v>70.2</v>
      </c>
      <c r="E30" s="12">
        <f>AVERAGE(E20:E29)</f>
        <v>141.6</v>
      </c>
      <c r="F30" s="9"/>
    </row>
    <row r="33" spans="1:7">
      <c r="A33" s="7" t="s">
        <v>32</v>
      </c>
    </row>
    <row r="35" spans="1:7">
      <c r="A35" s="14" t="s">
        <v>19</v>
      </c>
      <c r="B35" s="14" t="s">
        <v>1</v>
      </c>
      <c r="C35" s="14" t="s">
        <v>33</v>
      </c>
      <c r="D35" s="14" t="s">
        <v>34</v>
      </c>
      <c r="E35" s="14" t="s">
        <v>35</v>
      </c>
      <c r="F35" s="14" t="s">
        <v>22</v>
      </c>
      <c r="G35" s="14" t="s">
        <v>23</v>
      </c>
    </row>
    <row r="36" spans="1:7">
      <c r="A36" s="9">
        <v>1</v>
      </c>
      <c r="B36" s="10" t="s">
        <v>6</v>
      </c>
      <c r="C36" s="9">
        <v>96</v>
      </c>
      <c r="D36" s="9">
        <v>88</v>
      </c>
      <c r="E36" s="9">
        <v>95</v>
      </c>
      <c r="F36" s="9">
        <f>SUM(C36:E36)</f>
        <v>279</v>
      </c>
      <c r="G36" s="11" t="s">
        <v>24</v>
      </c>
    </row>
    <row r="37" spans="1:7">
      <c r="A37" s="9">
        <v>2</v>
      </c>
      <c r="B37" s="10" t="s">
        <v>7</v>
      </c>
      <c r="C37" s="9">
        <v>88</v>
      </c>
      <c r="D37" s="9">
        <v>42</v>
      </c>
      <c r="E37" s="9">
        <v>92</v>
      </c>
      <c r="F37" s="9">
        <f t="shared" ref="F37:F45" si="2">SUM(C37:E37)</f>
        <v>222</v>
      </c>
      <c r="G37" s="11" t="s">
        <v>25</v>
      </c>
    </row>
    <row r="38" spans="1:7">
      <c r="A38" s="9">
        <v>3</v>
      </c>
      <c r="B38" s="10" t="s">
        <v>8</v>
      </c>
      <c r="C38" s="9">
        <v>23</v>
      </c>
      <c r="D38" s="9">
        <v>45</v>
      </c>
      <c r="E38" s="9">
        <v>96</v>
      </c>
      <c r="F38" s="9">
        <f t="shared" si="2"/>
        <v>164</v>
      </c>
      <c r="G38" s="11" t="s">
        <v>26</v>
      </c>
    </row>
    <row r="39" spans="1:7">
      <c r="A39" s="9">
        <v>4</v>
      </c>
      <c r="B39" s="10" t="s">
        <v>9</v>
      </c>
      <c r="C39" s="9">
        <v>91</v>
      </c>
      <c r="D39" s="9">
        <v>58</v>
      </c>
      <c r="E39" s="9">
        <v>91</v>
      </c>
      <c r="F39" s="9">
        <f t="shared" si="2"/>
        <v>240</v>
      </c>
      <c r="G39" s="11" t="s">
        <v>27</v>
      </c>
    </row>
    <row r="40" spans="1:7">
      <c r="A40" s="9">
        <v>5</v>
      </c>
      <c r="B40" s="10" t="s">
        <v>11</v>
      </c>
      <c r="C40" s="9">
        <v>63</v>
      </c>
      <c r="D40" s="9">
        <v>93</v>
      </c>
      <c r="E40" s="9">
        <v>85</v>
      </c>
      <c r="F40" s="9">
        <f t="shared" si="2"/>
        <v>241</v>
      </c>
      <c r="G40" s="11" t="s">
        <v>27</v>
      </c>
    </row>
    <row r="41" spans="1:7">
      <c r="A41" s="9">
        <v>6</v>
      </c>
      <c r="B41" s="10" t="s">
        <v>12</v>
      </c>
      <c r="C41" s="9">
        <v>57</v>
      </c>
      <c r="D41" s="9">
        <v>47</v>
      </c>
      <c r="E41" s="9">
        <v>96</v>
      </c>
      <c r="F41" s="9">
        <f t="shared" si="2"/>
        <v>200</v>
      </c>
      <c r="G41" s="11" t="s">
        <v>26</v>
      </c>
    </row>
    <row r="42" spans="1:7">
      <c r="A42" s="9">
        <v>7</v>
      </c>
      <c r="B42" s="10" t="s">
        <v>13</v>
      </c>
      <c r="C42" s="9">
        <v>70</v>
      </c>
      <c r="D42" s="9">
        <v>65</v>
      </c>
      <c r="E42" s="9">
        <v>94</v>
      </c>
      <c r="F42" s="9">
        <f t="shared" si="2"/>
        <v>229</v>
      </c>
      <c r="G42" s="11" t="s">
        <v>25</v>
      </c>
    </row>
    <row r="43" spans="1:7">
      <c r="A43" s="9">
        <v>8</v>
      </c>
      <c r="B43" s="10" t="s">
        <v>14</v>
      </c>
      <c r="C43" s="9">
        <v>93</v>
      </c>
      <c r="D43" s="9">
        <v>81</v>
      </c>
      <c r="E43" s="9">
        <v>96</v>
      </c>
      <c r="F43" s="9">
        <f t="shared" si="2"/>
        <v>270</v>
      </c>
      <c r="G43" s="11" t="s">
        <v>24</v>
      </c>
    </row>
    <row r="44" spans="1:7">
      <c r="A44" s="9">
        <v>9</v>
      </c>
      <c r="B44" s="10" t="s">
        <v>15</v>
      </c>
      <c r="C44" s="9">
        <v>33</v>
      </c>
      <c r="D44" s="9">
        <v>87</v>
      </c>
      <c r="E44" s="9">
        <v>97</v>
      </c>
      <c r="F44" s="9">
        <f t="shared" si="2"/>
        <v>217</v>
      </c>
      <c r="G44" s="11" t="s">
        <v>26</v>
      </c>
    </row>
    <row r="45" spans="1:7">
      <c r="A45" s="9">
        <v>10</v>
      </c>
      <c r="B45" s="9" t="s">
        <v>28</v>
      </c>
      <c r="C45" s="9">
        <v>100</v>
      </c>
      <c r="D45" s="9">
        <v>96</v>
      </c>
      <c r="E45" s="9">
        <v>99</v>
      </c>
      <c r="F45" s="9">
        <f t="shared" si="2"/>
        <v>295</v>
      </c>
      <c r="G45" s="11" t="s">
        <v>24</v>
      </c>
    </row>
    <row r="46" spans="1:7">
      <c r="A46" s="19" t="s">
        <v>17</v>
      </c>
      <c r="B46" s="19"/>
      <c r="C46" s="12">
        <f>AVERAGE(C36:C45)</f>
        <v>71.400000000000006</v>
      </c>
      <c r="D46" s="12">
        <f>AVERAGE(D36:D45)</f>
        <v>70.2</v>
      </c>
      <c r="E46" s="12">
        <f>AVERAGE(E36:E45)</f>
        <v>94.1</v>
      </c>
      <c r="F46" s="12">
        <f>AVERAGE(F36:F45)</f>
        <v>235.7</v>
      </c>
      <c r="G46" s="9"/>
    </row>
  </sheetData>
  <mergeCells count="3">
    <mergeCell ref="A14:B14"/>
    <mergeCell ref="A30:B30"/>
    <mergeCell ref="A46:B46"/>
  </mergeCells>
  <phoneticPr fontId="2" type="noConversion"/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2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6.5"/>
  <sheetData/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4</vt:i4>
      </vt:variant>
      <vt:variant>
        <vt:lpstr>圖表</vt:lpstr>
      </vt:variant>
      <vt:variant>
        <vt:i4>2</vt:i4>
      </vt:variant>
    </vt:vector>
  </HeadingPairs>
  <TitlesOfParts>
    <vt:vector size="6" baseType="lpstr">
      <vt:lpstr>綜合</vt:lpstr>
      <vt:lpstr>3教科</vt:lpstr>
      <vt:lpstr>Sheet2</vt:lpstr>
      <vt:lpstr>Sheet3</vt:lpstr>
      <vt:lpstr>綜合G</vt:lpstr>
      <vt:lpstr>圖表</vt:lpstr>
    </vt:vector>
  </TitlesOfParts>
  <Company>CMT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TIGER-XP</dc:creator>
  <cp:lastModifiedBy>mee</cp:lastModifiedBy>
  <dcterms:created xsi:type="dcterms:W3CDTF">2009-09-01T06:22:44Z</dcterms:created>
  <dcterms:modified xsi:type="dcterms:W3CDTF">2010-07-09T07:10:24Z</dcterms:modified>
</cp:coreProperties>
</file>