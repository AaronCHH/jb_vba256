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3\"/>
    </mc:Choice>
  </mc:AlternateContent>
  <xr:revisionPtr revIDLastSave="0" documentId="8_{E28F6EC2-FD9C-4607-99E4-0D5B571D079C}" xr6:coauthVersionLast="46" xr6:coauthVersionMax="46" xr10:uidLastSave="{00000000-0000-0000-0000-000000000000}"/>
  <bookViews>
    <workbookView xWindow="28680" yWindow="600" windowWidth="15600" windowHeight="18840" activeTab="1"/>
  </bookViews>
  <sheets>
    <sheet name="Data" sheetId="1" r:id="rId1"/>
    <sheet name="集計" sheetId="2" r:id="rId2"/>
  </sheet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1" l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<sst xmlns="http://schemas.openxmlformats.org/spreadsheetml/2006/main" count="90" uniqueCount="25">
  <si>
    <t>日期</t>
    <rPh sb="0" eb="2">
      <t>ウリアゲビ</t>
    </rPh>
    <phoneticPr fontId="2"/>
  </si>
  <si>
    <t>分店</t>
    <rPh sb="0" eb="2">
      <t>コキャクメイ</t>
    </rPh>
    <phoneticPr fontId="2"/>
  </si>
  <si>
    <t>商品名</t>
    <rPh sb="0" eb="2">
      <t>ヒンメイ</t>
    </rPh>
    <phoneticPr fontId="2"/>
  </si>
  <si>
    <t>金額</t>
    <rPh sb="0" eb="2">
      <t>キンガク</t>
    </rPh>
    <phoneticPr fontId="2"/>
  </si>
  <si>
    <t>店員</t>
    <phoneticPr fontId="5" type="noConversion"/>
  </si>
  <si>
    <t>單價</t>
    <phoneticPr fontId="5" type="noConversion"/>
  </si>
  <si>
    <t>數量</t>
    <phoneticPr fontId="5" type="noConversion"/>
  </si>
  <si>
    <t>台北分店</t>
    <phoneticPr fontId="2"/>
  </si>
  <si>
    <t>陳</t>
    <phoneticPr fontId="5" type="noConversion"/>
  </si>
  <si>
    <t>HDD錄影機</t>
    <phoneticPr fontId="2"/>
  </si>
  <si>
    <t>張</t>
    <phoneticPr fontId="5" type="noConversion"/>
  </si>
  <si>
    <t>DVD播放機</t>
    <phoneticPr fontId="5" type="noConversion"/>
  </si>
  <si>
    <t>台中分店</t>
    <phoneticPr fontId="5" type="noConversion"/>
  </si>
  <si>
    <t>黃</t>
    <phoneticPr fontId="5" type="noConversion"/>
  </si>
  <si>
    <t>液晶電視機</t>
    <phoneticPr fontId="5" type="noConversion"/>
  </si>
  <si>
    <t>高雄分店</t>
    <phoneticPr fontId="5" type="noConversion"/>
  </si>
  <si>
    <t>王</t>
    <phoneticPr fontId="5" type="noConversion"/>
  </si>
  <si>
    <t>吳</t>
    <phoneticPr fontId="5" type="noConversion"/>
  </si>
  <si>
    <t>商品名</t>
  </si>
  <si>
    <t>日期</t>
  </si>
  <si>
    <t>加總 的金額</t>
  </si>
  <si>
    <t>DVD播放機</t>
  </si>
  <si>
    <t>HDD錄影機</t>
  </si>
  <si>
    <t>液晶電視機</t>
  </si>
  <si>
    <t>總計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</si>
</sst>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184" formatCode="m/d;@"/>
  </numFmts>
  <fonts count="7"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6"/>
      <name val="ＭＳ Ｐゴシック"/>
      <family val="2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1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184" fontId="0" fillId="0" borderId="0" xfId="0" applyNumberFormat="1" applyFill="1">
      <alignment vertical="center"/>
    </xf>
    <xf numFmtId="6" fontId="0" fillId="0" borderId="0" xfId="0" applyNumberFormat="1" applyFill="1">
      <alignment vertical="center"/>
    </xf>
    <xf numFmtId="0" fontId="6" fillId="3" borderId="0" xfId="0" applyFont="1" applyFill="1" applyBorder="1" applyAlignment="1">
      <alignment horizont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1" xfId="0" pivotButton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84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5" xfId="0" applyNumberFormat="1" applyBorder="1">
      <alignment vertical="center"/>
    </xf>
    <xf numFmtId="0" fontId="0" fillId="0" borderId="2" xfId="0" applyNumberFormat="1" applyBorder="1">
      <alignment vertical="center"/>
    </xf>
    <xf numFmtId="184" fontId="0" fillId="0" borderId="6" xfId="0" applyNumberFormat="1" applyBorder="1">
      <alignment vertical="center"/>
    </xf>
    <xf numFmtId="0" fontId="0" fillId="0" borderId="6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7" xfId="0" applyNumberFormat="1" applyBorder="1">
      <alignment vertical="center"/>
    </xf>
    <xf numFmtId="184" fontId="0" fillId="0" borderId="8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0" borderId="10" xfId="0" applyNumberFormat="1" applyBorder="1">
      <alignment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e" refreshedDate="40363.669447106484" createdVersion="1" refreshedVersion="2" recordCount="25" upgradeOnRefresh="1">
  <cacheSource type="worksheet">
    <worksheetSource ref="A1:G26" sheet="Data"/>
  </cacheSource>
  <cacheFields count="7">
    <cacheField name="日期" numFmtId="0">
      <sharedItems containsSemiMixedTypes="0" containsNonDate="0" containsDate="1" containsString="0" minDate="2009-01-01T00:00:00" maxDate="2009-03-10T00:00:00" count="9"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2-08T00:00:00"/>
        <d v="2009-03-09T00:00:00"/>
      </sharedItems>
    </cacheField>
    <cacheField name="分店" numFmtId="0">
      <sharedItems count="3">
        <s v="台北分店"/>
        <s v="台中分店"/>
        <s v="高雄分店"/>
      </sharedItems>
    </cacheField>
    <cacheField name="店員" numFmtId="0">
      <sharedItems count="5">
        <s v="陳"/>
        <s v="張"/>
        <s v="黃"/>
        <s v="王"/>
        <s v="吳"/>
      </sharedItems>
    </cacheField>
    <cacheField name="商品名" numFmtId="0">
      <sharedItems count="3">
        <s v="HDD錄影機"/>
        <s v="DVD播放機"/>
        <s v="液晶電視機"/>
      </sharedItems>
    </cacheField>
    <cacheField name="單價" numFmtId="0">
      <sharedItems containsSemiMixedTypes="0" containsString="0" containsNumber="1" containsInteger="1" minValue="38000" maxValue="84000" count="4">
        <n v="55000"/>
        <n v="38000"/>
        <n v="42000"/>
        <n v="84000"/>
      </sharedItems>
    </cacheField>
    <cacheField name="數量" numFmtId="0">
      <sharedItems containsSemiMixedTypes="0" containsString="0" containsNumber="1" containsInteger="1" minValue="1" maxValue="6" count="5">
        <n v="1"/>
        <n v="2"/>
        <n v="3"/>
        <n v="6"/>
        <n v="5"/>
      </sharedItems>
    </cacheField>
    <cacheField name="金額" numFmtId="0">
      <sharedItems containsSemiMixedTypes="0" containsString="0" containsNumber="1" containsInteger="1" minValue="38000" maxValue="252000" count="11">
        <n v="55000"/>
        <n v="38000"/>
        <n v="42000"/>
        <n v="110000"/>
        <n v="126000"/>
        <n v="168000"/>
        <n v="252000"/>
        <n v="76000"/>
        <n v="190000"/>
        <n v="165000"/>
        <n v="84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x v="0"/>
    <x v="0"/>
    <x v="0"/>
    <x v="0"/>
    <x v="0"/>
  </r>
  <r>
    <x v="0"/>
    <x v="0"/>
    <x v="1"/>
    <x v="1"/>
    <x v="1"/>
    <x v="0"/>
    <x v="1"/>
  </r>
  <r>
    <x v="1"/>
    <x v="1"/>
    <x v="2"/>
    <x v="2"/>
    <x v="2"/>
    <x v="0"/>
    <x v="2"/>
  </r>
  <r>
    <x v="1"/>
    <x v="0"/>
    <x v="0"/>
    <x v="0"/>
    <x v="0"/>
    <x v="1"/>
    <x v="3"/>
  </r>
  <r>
    <x v="2"/>
    <x v="1"/>
    <x v="1"/>
    <x v="1"/>
    <x v="1"/>
    <x v="0"/>
    <x v="1"/>
  </r>
  <r>
    <x v="2"/>
    <x v="0"/>
    <x v="0"/>
    <x v="2"/>
    <x v="2"/>
    <x v="2"/>
    <x v="4"/>
  </r>
  <r>
    <x v="3"/>
    <x v="2"/>
    <x v="3"/>
    <x v="0"/>
    <x v="0"/>
    <x v="0"/>
    <x v="0"/>
  </r>
  <r>
    <x v="3"/>
    <x v="1"/>
    <x v="1"/>
    <x v="2"/>
    <x v="3"/>
    <x v="1"/>
    <x v="5"/>
  </r>
  <r>
    <x v="3"/>
    <x v="1"/>
    <x v="2"/>
    <x v="1"/>
    <x v="1"/>
    <x v="0"/>
    <x v="1"/>
  </r>
  <r>
    <x v="4"/>
    <x v="2"/>
    <x v="4"/>
    <x v="0"/>
    <x v="0"/>
    <x v="0"/>
    <x v="0"/>
  </r>
  <r>
    <x v="4"/>
    <x v="0"/>
    <x v="0"/>
    <x v="2"/>
    <x v="2"/>
    <x v="3"/>
    <x v="6"/>
  </r>
  <r>
    <x v="4"/>
    <x v="0"/>
    <x v="1"/>
    <x v="1"/>
    <x v="1"/>
    <x v="0"/>
    <x v="1"/>
  </r>
  <r>
    <x v="5"/>
    <x v="1"/>
    <x v="2"/>
    <x v="1"/>
    <x v="1"/>
    <x v="0"/>
    <x v="1"/>
  </r>
  <r>
    <x v="5"/>
    <x v="2"/>
    <x v="3"/>
    <x v="2"/>
    <x v="2"/>
    <x v="0"/>
    <x v="2"/>
  </r>
  <r>
    <x v="6"/>
    <x v="0"/>
    <x v="1"/>
    <x v="0"/>
    <x v="0"/>
    <x v="0"/>
    <x v="0"/>
  </r>
  <r>
    <x v="6"/>
    <x v="2"/>
    <x v="4"/>
    <x v="2"/>
    <x v="2"/>
    <x v="0"/>
    <x v="2"/>
  </r>
  <r>
    <x v="6"/>
    <x v="0"/>
    <x v="0"/>
    <x v="1"/>
    <x v="1"/>
    <x v="1"/>
    <x v="7"/>
  </r>
  <r>
    <x v="7"/>
    <x v="2"/>
    <x v="3"/>
    <x v="2"/>
    <x v="2"/>
    <x v="0"/>
    <x v="2"/>
  </r>
  <r>
    <x v="7"/>
    <x v="0"/>
    <x v="0"/>
    <x v="2"/>
    <x v="2"/>
    <x v="0"/>
    <x v="2"/>
  </r>
  <r>
    <x v="7"/>
    <x v="1"/>
    <x v="1"/>
    <x v="0"/>
    <x v="0"/>
    <x v="0"/>
    <x v="0"/>
  </r>
  <r>
    <x v="8"/>
    <x v="2"/>
    <x v="3"/>
    <x v="1"/>
    <x v="1"/>
    <x v="4"/>
    <x v="8"/>
  </r>
  <r>
    <x v="8"/>
    <x v="0"/>
    <x v="1"/>
    <x v="0"/>
    <x v="0"/>
    <x v="2"/>
    <x v="9"/>
  </r>
  <r>
    <x v="8"/>
    <x v="1"/>
    <x v="2"/>
    <x v="1"/>
    <x v="1"/>
    <x v="0"/>
    <x v="1"/>
  </r>
  <r>
    <x v="8"/>
    <x v="0"/>
    <x v="1"/>
    <x v="2"/>
    <x v="2"/>
    <x v="1"/>
    <x v="10"/>
  </r>
  <r>
    <x v="8"/>
    <x v="1"/>
    <x v="2"/>
    <x v="1"/>
    <x v="1"/>
    <x v="1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1" cacheId="0" dataOnRows="1" applyNumberFormats="0" applyBorderFormats="0" applyFontFormats="0" applyPatternFormats="0" applyAlignmentFormats="0" applyWidthHeightFormats="1" dataCaption="資料" updatedVersion="2" showItems="0" showMultipleLabel="0" showMemberPropertyTips="0" useAutoFormatting="1" itemPrintTitles="1" showDropZones="0" indent="0" compact="0" compactData="0" gridDropZones="1">
  <location ref="A3:E14" firstHeaderRow="1" firstDataRow="2" firstDataCol="1"/>
  <pivotFields count="7">
    <pivotField axis="axisRow" compact="0" numFmtId="184" outline="0" subtotalTop="0" showAll="0" includeNewItemsInFilter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4">
        <item x="1"/>
        <item x="0"/>
        <item x="2"/>
        <item t="default"/>
      </items>
    </pivotField>
    <pivotField compact="0" numFmtId="6" outline="0" subtotalTop="0" showAll="0" includeNewItemsInFilter="1"/>
    <pivotField compact="0" outline="0" subtotalTop="0" showAll="0" includeNewItemsInFilter="1"/>
    <pivotField dataField="1" compact="0" numFmtId="6" outline="0" subtotalTop="0" showAll="0" includeNewItemsInFilter="1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加總 的金額" fld="6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workbookViewId="0">
      <selection activeCell="E13" sqref="E13"/>
    </sheetView>
  </sheetViews>
  <sheetFormatPr defaultRowHeight="16.5"/>
  <cols>
    <col min="1" max="1" width="9.5" style="1" customWidth="1"/>
    <col min="2" max="2" width="12" style="1" customWidth="1"/>
    <col min="3" max="3" width="9.5" style="1" customWidth="1"/>
    <col min="4" max="4" width="19.5" style="1" customWidth="1"/>
    <col min="5" max="6" width="9.5" style="1" customWidth="1"/>
    <col min="7" max="7" width="13.625" style="1" customWidth="1"/>
    <col min="8" max="16384" width="9" style="1"/>
  </cols>
  <sheetData>
    <row r="1" spans="1:7">
      <c r="A1" s="4" t="s">
        <v>0</v>
      </c>
      <c r="B1" s="4" t="s">
        <v>1</v>
      </c>
      <c r="C1" s="4" t="s">
        <v>4</v>
      </c>
      <c r="D1" s="4" t="s">
        <v>2</v>
      </c>
      <c r="E1" s="4" t="s">
        <v>5</v>
      </c>
      <c r="F1" s="4" t="s">
        <v>6</v>
      </c>
      <c r="G1" s="4" t="s">
        <v>3</v>
      </c>
    </row>
    <row r="2" spans="1:7">
      <c r="A2" s="2">
        <v>39814</v>
      </c>
      <c r="B2" s="1" t="s">
        <v>7</v>
      </c>
      <c r="C2" s="1" t="s">
        <v>8</v>
      </c>
      <c r="D2" s="1" t="s">
        <v>9</v>
      </c>
      <c r="E2" s="3">
        <v>55000</v>
      </c>
      <c r="F2" s="1">
        <v>1</v>
      </c>
      <c r="G2" s="3">
        <f>E2*F2</f>
        <v>55000</v>
      </c>
    </row>
    <row r="3" spans="1:7">
      <c r="A3" s="2">
        <v>39814</v>
      </c>
      <c r="B3" s="1" t="s">
        <v>7</v>
      </c>
      <c r="C3" s="1" t="s">
        <v>10</v>
      </c>
      <c r="D3" s="1" t="s">
        <v>11</v>
      </c>
      <c r="E3" s="3">
        <v>38000</v>
      </c>
      <c r="F3" s="1">
        <v>1</v>
      </c>
      <c r="G3" s="3">
        <f t="shared" ref="G3:G26" si="0">E3*F3</f>
        <v>38000</v>
      </c>
    </row>
    <row r="4" spans="1:7">
      <c r="A4" s="2">
        <v>39815</v>
      </c>
      <c r="B4" s="1" t="s">
        <v>12</v>
      </c>
      <c r="C4" s="1" t="s">
        <v>13</v>
      </c>
      <c r="D4" s="1" t="s">
        <v>14</v>
      </c>
      <c r="E4" s="3">
        <v>42000</v>
      </c>
      <c r="F4" s="1">
        <v>1</v>
      </c>
      <c r="G4" s="3">
        <f t="shared" si="0"/>
        <v>42000</v>
      </c>
    </row>
    <row r="5" spans="1:7">
      <c r="A5" s="2">
        <v>39815</v>
      </c>
      <c r="B5" s="1" t="s">
        <v>7</v>
      </c>
      <c r="C5" s="1" t="s">
        <v>8</v>
      </c>
      <c r="D5" s="1" t="s">
        <v>9</v>
      </c>
      <c r="E5" s="3">
        <v>55000</v>
      </c>
      <c r="F5" s="1">
        <v>2</v>
      </c>
      <c r="G5" s="3">
        <f t="shared" si="0"/>
        <v>110000</v>
      </c>
    </row>
    <row r="6" spans="1:7">
      <c r="A6" s="2">
        <v>39816</v>
      </c>
      <c r="B6" s="1" t="s">
        <v>12</v>
      </c>
      <c r="C6" s="1" t="s">
        <v>10</v>
      </c>
      <c r="D6" s="1" t="s">
        <v>11</v>
      </c>
      <c r="E6" s="3">
        <v>38000</v>
      </c>
      <c r="F6" s="1">
        <v>1</v>
      </c>
      <c r="G6" s="3">
        <f t="shared" si="0"/>
        <v>38000</v>
      </c>
    </row>
    <row r="7" spans="1:7">
      <c r="A7" s="2">
        <v>39816</v>
      </c>
      <c r="B7" s="1" t="s">
        <v>7</v>
      </c>
      <c r="C7" s="1" t="s">
        <v>8</v>
      </c>
      <c r="D7" s="1" t="s">
        <v>14</v>
      </c>
      <c r="E7" s="3">
        <v>42000</v>
      </c>
      <c r="F7" s="1">
        <v>3</v>
      </c>
      <c r="G7" s="3">
        <f t="shared" si="0"/>
        <v>126000</v>
      </c>
    </row>
    <row r="8" spans="1:7">
      <c r="A8" s="2">
        <v>39817</v>
      </c>
      <c r="B8" s="1" t="s">
        <v>15</v>
      </c>
      <c r="C8" s="1" t="s">
        <v>16</v>
      </c>
      <c r="D8" s="1" t="s">
        <v>9</v>
      </c>
      <c r="E8" s="3">
        <v>55000</v>
      </c>
      <c r="F8" s="1">
        <v>1</v>
      </c>
      <c r="G8" s="3">
        <f t="shared" si="0"/>
        <v>55000</v>
      </c>
    </row>
    <row r="9" spans="1:7">
      <c r="A9" s="2">
        <v>39817</v>
      </c>
      <c r="B9" s="1" t="s">
        <v>12</v>
      </c>
      <c r="C9" s="1" t="s">
        <v>10</v>
      </c>
      <c r="D9" s="1" t="s">
        <v>14</v>
      </c>
      <c r="E9" s="3">
        <v>84000</v>
      </c>
      <c r="F9" s="1">
        <v>2</v>
      </c>
      <c r="G9" s="3">
        <f t="shared" si="0"/>
        <v>168000</v>
      </c>
    </row>
    <row r="10" spans="1:7">
      <c r="A10" s="2">
        <v>39817</v>
      </c>
      <c r="B10" s="1" t="s">
        <v>12</v>
      </c>
      <c r="C10" s="1" t="s">
        <v>13</v>
      </c>
      <c r="D10" s="1" t="s">
        <v>11</v>
      </c>
      <c r="E10" s="3">
        <v>38000</v>
      </c>
      <c r="F10" s="1">
        <v>1</v>
      </c>
      <c r="G10" s="3">
        <f t="shared" si="0"/>
        <v>38000</v>
      </c>
    </row>
    <row r="11" spans="1:7">
      <c r="A11" s="2">
        <v>39818</v>
      </c>
      <c r="B11" s="1" t="s">
        <v>15</v>
      </c>
      <c r="C11" s="1" t="s">
        <v>17</v>
      </c>
      <c r="D11" s="1" t="s">
        <v>9</v>
      </c>
      <c r="E11" s="3">
        <v>55000</v>
      </c>
      <c r="F11" s="1">
        <v>1</v>
      </c>
      <c r="G11" s="3">
        <f t="shared" si="0"/>
        <v>55000</v>
      </c>
    </row>
    <row r="12" spans="1:7">
      <c r="A12" s="2">
        <v>39818</v>
      </c>
      <c r="B12" s="1" t="s">
        <v>7</v>
      </c>
      <c r="C12" s="1" t="s">
        <v>8</v>
      </c>
      <c r="D12" s="1" t="s">
        <v>14</v>
      </c>
      <c r="E12" s="3">
        <v>42000</v>
      </c>
      <c r="F12" s="1">
        <v>6</v>
      </c>
      <c r="G12" s="3">
        <f t="shared" si="0"/>
        <v>252000</v>
      </c>
    </row>
    <row r="13" spans="1:7">
      <c r="A13" s="2">
        <v>39818</v>
      </c>
      <c r="B13" s="1" t="s">
        <v>7</v>
      </c>
      <c r="C13" s="1" t="s">
        <v>10</v>
      </c>
      <c r="D13" s="1" t="s">
        <v>11</v>
      </c>
      <c r="E13" s="3">
        <v>38000</v>
      </c>
      <c r="F13" s="1">
        <v>1</v>
      </c>
      <c r="G13" s="3">
        <f t="shared" si="0"/>
        <v>38000</v>
      </c>
    </row>
    <row r="14" spans="1:7">
      <c r="A14" s="2">
        <v>39819</v>
      </c>
      <c r="B14" s="1" t="s">
        <v>12</v>
      </c>
      <c r="C14" s="1" t="s">
        <v>13</v>
      </c>
      <c r="D14" s="1" t="s">
        <v>11</v>
      </c>
      <c r="E14" s="3">
        <v>38000</v>
      </c>
      <c r="F14" s="1">
        <v>1</v>
      </c>
      <c r="G14" s="3">
        <f t="shared" si="0"/>
        <v>38000</v>
      </c>
    </row>
    <row r="15" spans="1:7">
      <c r="A15" s="2">
        <v>39819</v>
      </c>
      <c r="B15" s="1" t="s">
        <v>15</v>
      </c>
      <c r="C15" s="1" t="s">
        <v>16</v>
      </c>
      <c r="D15" s="1" t="s">
        <v>14</v>
      </c>
      <c r="E15" s="3">
        <v>42000</v>
      </c>
      <c r="F15" s="1">
        <v>1</v>
      </c>
      <c r="G15" s="3">
        <f t="shared" si="0"/>
        <v>42000</v>
      </c>
    </row>
    <row r="16" spans="1:7">
      <c r="A16" s="2">
        <v>39820</v>
      </c>
      <c r="B16" s="1" t="s">
        <v>7</v>
      </c>
      <c r="C16" s="1" t="s">
        <v>10</v>
      </c>
      <c r="D16" s="1" t="s">
        <v>9</v>
      </c>
      <c r="E16" s="3">
        <v>55000</v>
      </c>
      <c r="F16" s="1">
        <v>1</v>
      </c>
      <c r="G16" s="3">
        <f t="shared" si="0"/>
        <v>55000</v>
      </c>
    </row>
    <row r="17" spans="1:7">
      <c r="A17" s="2">
        <v>39820</v>
      </c>
      <c r="B17" s="1" t="s">
        <v>15</v>
      </c>
      <c r="C17" s="1" t="s">
        <v>17</v>
      </c>
      <c r="D17" s="1" t="s">
        <v>14</v>
      </c>
      <c r="E17" s="3">
        <v>42000</v>
      </c>
      <c r="F17" s="1">
        <v>1</v>
      </c>
      <c r="G17" s="3">
        <f t="shared" si="0"/>
        <v>42000</v>
      </c>
    </row>
    <row r="18" spans="1:7">
      <c r="A18" s="2">
        <v>39820</v>
      </c>
      <c r="B18" s="1" t="s">
        <v>7</v>
      </c>
      <c r="C18" s="1" t="s">
        <v>8</v>
      </c>
      <c r="D18" s="1" t="s">
        <v>11</v>
      </c>
      <c r="E18" s="3">
        <v>38000</v>
      </c>
      <c r="F18" s="1">
        <v>2</v>
      </c>
      <c r="G18" s="3">
        <f t="shared" si="0"/>
        <v>76000</v>
      </c>
    </row>
    <row r="19" spans="1:7">
      <c r="A19" s="2">
        <v>39852</v>
      </c>
      <c r="B19" s="1" t="s">
        <v>15</v>
      </c>
      <c r="C19" s="1" t="s">
        <v>16</v>
      </c>
      <c r="D19" s="1" t="s">
        <v>14</v>
      </c>
      <c r="E19" s="3">
        <v>42000</v>
      </c>
      <c r="F19" s="1">
        <v>1</v>
      </c>
      <c r="G19" s="3">
        <f t="shared" si="0"/>
        <v>42000</v>
      </c>
    </row>
    <row r="20" spans="1:7">
      <c r="A20" s="2">
        <v>39852</v>
      </c>
      <c r="B20" s="1" t="s">
        <v>7</v>
      </c>
      <c r="C20" s="1" t="s">
        <v>8</v>
      </c>
      <c r="D20" s="1" t="s">
        <v>14</v>
      </c>
      <c r="E20" s="3">
        <v>42000</v>
      </c>
      <c r="F20" s="1">
        <v>1</v>
      </c>
      <c r="G20" s="3">
        <f t="shared" si="0"/>
        <v>42000</v>
      </c>
    </row>
    <row r="21" spans="1:7">
      <c r="A21" s="2">
        <v>39852</v>
      </c>
      <c r="B21" s="1" t="s">
        <v>12</v>
      </c>
      <c r="C21" s="1" t="s">
        <v>10</v>
      </c>
      <c r="D21" s="1" t="s">
        <v>9</v>
      </c>
      <c r="E21" s="3">
        <v>55000</v>
      </c>
      <c r="F21" s="1">
        <v>1</v>
      </c>
      <c r="G21" s="3">
        <f t="shared" si="0"/>
        <v>55000</v>
      </c>
    </row>
    <row r="22" spans="1:7">
      <c r="A22" s="2">
        <v>39881</v>
      </c>
      <c r="B22" s="1" t="s">
        <v>15</v>
      </c>
      <c r="C22" s="1" t="s">
        <v>16</v>
      </c>
      <c r="D22" s="1" t="s">
        <v>11</v>
      </c>
      <c r="E22" s="3">
        <v>38000</v>
      </c>
      <c r="F22" s="1">
        <v>5</v>
      </c>
      <c r="G22" s="3">
        <f t="shared" si="0"/>
        <v>190000</v>
      </c>
    </row>
    <row r="23" spans="1:7">
      <c r="A23" s="2">
        <v>39881</v>
      </c>
      <c r="B23" s="1" t="s">
        <v>7</v>
      </c>
      <c r="C23" s="1" t="s">
        <v>10</v>
      </c>
      <c r="D23" s="1" t="s">
        <v>9</v>
      </c>
      <c r="E23" s="3">
        <v>55000</v>
      </c>
      <c r="F23" s="1">
        <v>3</v>
      </c>
      <c r="G23" s="3">
        <f t="shared" si="0"/>
        <v>165000</v>
      </c>
    </row>
    <row r="24" spans="1:7">
      <c r="A24" s="2">
        <v>39881</v>
      </c>
      <c r="B24" s="1" t="s">
        <v>12</v>
      </c>
      <c r="C24" s="1" t="s">
        <v>13</v>
      </c>
      <c r="D24" s="1" t="s">
        <v>11</v>
      </c>
      <c r="E24" s="3">
        <v>38000</v>
      </c>
      <c r="F24" s="1">
        <v>1</v>
      </c>
      <c r="G24" s="3">
        <f t="shared" si="0"/>
        <v>38000</v>
      </c>
    </row>
    <row r="25" spans="1:7">
      <c r="A25" s="2">
        <v>39881</v>
      </c>
      <c r="B25" s="1" t="s">
        <v>7</v>
      </c>
      <c r="C25" s="1" t="s">
        <v>10</v>
      </c>
      <c r="D25" s="1" t="s">
        <v>14</v>
      </c>
      <c r="E25" s="3">
        <v>42000</v>
      </c>
      <c r="F25" s="1">
        <v>2</v>
      </c>
      <c r="G25" s="3">
        <f t="shared" si="0"/>
        <v>84000</v>
      </c>
    </row>
    <row r="26" spans="1:7">
      <c r="A26" s="2">
        <v>39881</v>
      </c>
      <c r="B26" s="1" t="s">
        <v>12</v>
      </c>
      <c r="C26" s="1" t="s">
        <v>13</v>
      </c>
      <c r="D26" s="1" t="s">
        <v>11</v>
      </c>
      <c r="E26" s="3">
        <v>38000</v>
      </c>
      <c r="F26" s="1">
        <v>2</v>
      </c>
      <c r="G26" s="3">
        <f t="shared" si="0"/>
        <v>76000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E14"/>
  <sheetViews>
    <sheetView tabSelected="1" workbookViewId="0"/>
  </sheetViews>
  <sheetFormatPr defaultRowHeight="16.5"/>
  <cols>
    <col min="1" max="1" width="12.25" bestFit="1" customWidth="1"/>
    <col min="2" max="4" width="11.75" bestFit="1" customWidth="1"/>
    <col min="5" max="5" width="8.5" bestFit="1" customWidth="1"/>
  </cols>
  <sheetData>
    <row r="3" spans="1:5">
      <c r="A3" s="7" t="s">
        <v>20</v>
      </c>
      <c r="B3" s="7" t="s">
        <v>18</v>
      </c>
      <c r="C3" s="8"/>
      <c r="D3" s="8"/>
      <c r="E3" s="9"/>
    </row>
    <row r="4" spans="1:5">
      <c r="A4" s="7" t="s">
        <v>19</v>
      </c>
      <c r="B4" s="5" t="s">
        <v>21</v>
      </c>
      <c r="C4" s="10" t="s">
        <v>22</v>
      </c>
      <c r="D4" s="10" t="s">
        <v>23</v>
      </c>
      <c r="E4" s="6" t="s">
        <v>24</v>
      </c>
    </row>
    <row r="5" spans="1:5">
      <c r="A5" s="11">
        <v>39814</v>
      </c>
      <c r="B5" s="12">
        <v>38000</v>
      </c>
      <c r="C5" s="13">
        <v>55000</v>
      </c>
      <c r="D5" s="13"/>
      <c r="E5" s="14">
        <v>93000</v>
      </c>
    </row>
    <row r="6" spans="1:5">
      <c r="A6" s="15">
        <v>39815</v>
      </c>
      <c r="B6" s="16"/>
      <c r="C6" s="17">
        <v>110000</v>
      </c>
      <c r="D6" s="17">
        <v>42000</v>
      </c>
      <c r="E6" s="18">
        <v>152000</v>
      </c>
    </row>
    <row r="7" spans="1:5">
      <c r="A7" s="15">
        <v>39816</v>
      </c>
      <c r="B7" s="16">
        <v>38000</v>
      </c>
      <c r="C7" s="17"/>
      <c r="D7" s="17">
        <v>126000</v>
      </c>
      <c r="E7" s="18">
        <v>164000</v>
      </c>
    </row>
    <row r="8" spans="1:5">
      <c r="A8" s="15">
        <v>39817</v>
      </c>
      <c r="B8" s="16">
        <v>38000</v>
      </c>
      <c r="C8" s="17">
        <v>55000</v>
      </c>
      <c r="D8" s="17">
        <v>168000</v>
      </c>
      <c r="E8" s="18">
        <v>261000</v>
      </c>
    </row>
    <row r="9" spans="1:5">
      <c r="A9" s="15">
        <v>39818</v>
      </c>
      <c r="B9" s="16">
        <v>38000</v>
      </c>
      <c r="C9" s="17">
        <v>55000</v>
      </c>
      <c r="D9" s="17">
        <v>252000</v>
      </c>
      <c r="E9" s="18">
        <v>345000</v>
      </c>
    </row>
    <row r="10" spans="1:5">
      <c r="A10" s="15">
        <v>39819</v>
      </c>
      <c r="B10" s="16">
        <v>38000</v>
      </c>
      <c r="C10" s="17"/>
      <c r="D10" s="17">
        <v>42000</v>
      </c>
      <c r="E10" s="18">
        <v>80000</v>
      </c>
    </row>
    <row r="11" spans="1:5">
      <c r="A11" s="15">
        <v>39820</v>
      </c>
      <c r="B11" s="16">
        <v>76000</v>
      </c>
      <c r="C11" s="17">
        <v>55000</v>
      </c>
      <c r="D11" s="17">
        <v>42000</v>
      </c>
      <c r="E11" s="18">
        <v>173000</v>
      </c>
    </row>
    <row r="12" spans="1:5">
      <c r="A12" s="15">
        <v>39852</v>
      </c>
      <c r="B12" s="16"/>
      <c r="C12" s="17">
        <v>55000</v>
      </c>
      <c r="D12" s="17">
        <v>84000</v>
      </c>
      <c r="E12" s="18">
        <v>139000</v>
      </c>
    </row>
    <row r="13" spans="1:5">
      <c r="A13" s="15">
        <v>39881</v>
      </c>
      <c r="B13" s="16">
        <v>304000</v>
      </c>
      <c r="C13" s="17">
        <v>165000</v>
      </c>
      <c r="D13" s="17">
        <v>84000</v>
      </c>
      <c r="E13" s="18">
        <v>553000</v>
      </c>
    </row>
    <row r="14" spans="1:5">
      <c r="A14" s="19" t="s">
        <v>24</v>
      </c>
      <c r="B14" s="20">
        <v>570000</v>
      </c>
      <c r="C14" s="21">
        <v>550000</v>
      </c>
      <c r="D14" s="21">
        <v>840000</v>
      </c>
      <c r="E14" s="22">
        <v>1960000</v>
      </c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集計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2021-03-26T15:59:57Z</dcterms:modified>
</cp:coreProperties>
</file>