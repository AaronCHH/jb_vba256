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8\"/>
    </mc:Choice>
  </mc:AlternateContent>
  <xr:revisionPtr revIDLastSave="0" documentId="8_{E92465F9-098D-498F-B211-2DEDB1A5EC16}" xr6:coauthVersionLast="46" xr6:coauthVersionMax="46" xr10:uidLastSave="{00000000-0000-0000-0000-000000000000}"/>
  <bookViews>
    <workbookView xWindow="390" yWindow="390" windowWidth="15435" windowHeight="12810" tabRatio="398"/>
  </bookViews>
  <sheets>
    <sheet name="3教科" sheetId="7" r:id="rId1"/>
    <sheet name="國語測試" sheetId="6" r:id="rId2"/>
    <sheet name="數學測試" sheetId="8" r:id="rId3"/>
    <sheet name="英語測試" sheetId="9" r:id="rId4"/>
  </sheets>
  <definedNames>
    <definedName name="商品買家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7" l="1"/>
  <c r="D14" i="7"/>
  <c r="C14" i="7"/>
  <c r="F13" i="7"/>
  <c r="F12" i="7"/>
  <c r="F11" i="7"/>
  <c r="F10" i="7"/>
  <c r="F9" i="7"/>
  <c r="F8" i="7"/>
  <c r="F7" i="7"/>
  <c r="F6" i="7"/>
  <c r="F5" i="7"/>
  <c r="F4" i="7"/>
  <c r="D14" i="9"/>
  <c r="C14" i="9"/>
  <c r="E13" i="9"/>
  <c r="E12" i="9"/>
  <c r="E11" i="9"/>
  <c r="E10" i="9"/>
  <c r="E9" i="9"/>
  <c r="E8" i="9"/>
  <c r="E7" i="9"/>
  <c r="E6" i="9"/>
  <c r="E5" i="9"/>
  <c r="E14" i="9" s="1"/>
  <c r="E4" i="9"/>
  <c r="E14" i="8"/>
  <c r="D14" i="8"/>
  <c r="C14" i="8"/>
  <c r="F13" i="8"/>
  <c r="F12" i="8"/>
  <c r="F11" i="8"/>
  <c r="F10" i="8"/>
  <c r="F9" i="8"/>
  <c r="F8" i="8"/>
  <c r="F14" i="8" s="1"/>
  <c r="F7" i="8"/>
  <c r="F6" i="8"/>
  <c r="F5" i="8"/>
  <c r="F4" i="8"/>
  <c r="D14" i="6"/>
  <c r="C14" i="6"/>
  <c r="E13" i="6"/>
  <c r="E12" i="6"/>
  <c r="E11" i="6"/>
  <c r="E10" i="6"/>
  <c r="E9" i="6"/>
  <c r="E14" i="6" s="1"/>
  <c r="E8" i="6"/>
  <c r="E7" i="6"/>
  <c r="E6" i="6"/>
  <c r="E5" i="6"/>
  <c r="E4" i="6"/>
</calcChain>
</file>

<file path=xl/sharedStrings.xml><?xml version="1.0" encoding="utf-8"?>
<sst xmlns="http://schemas.openxmlformats.org/spreadsheetml/2006/main" count="103" uniqueCount="47">
  <si>
    <t>國語能力測試結果</t>
    <phoneticPr fontId="4" type="noConversion"/>
  </si>
  <si>
    <t>編號</t>
    <phoneticPr fontId="4" type="noConversion"/>
  </si>
  <si>
    <t>姓名</t>
    <phoneticPr fontId="4" type="noConversion"/>
  </si>
  <si>
    <t>現代國語</t>
    <phoneticPr fontId="4" type="noConversion"/>
  </si>
  <si>
    <t>古文</t>
    <phoneticPr fontId="4" type="noConversion"/>
  </si>
  <si>
    <t>得分</t>
    <phoneticPr fontId="4" type="noConversion"/>
  </si>
  <si>
    <t>評價</t>
    <phoneticPr fontId="4" type="noConversion"/>
  </si>
  <si>
    <t>陳 大同</t>
    <phoneticPr fontId="4" type="noConversion"/>
  </si>
  <si>
    <t>A</t>
    <phoneticPr fontId="4" type="noConversion"/>
  </si>
  <si>
    <t>黃 小霞</t>
    <phoneticPr fontId="4" type="noConversion"/>
  </si>
  <si>
    <t>C</t>
    <phoneticPr fontId="4" type="noConversion"/>
  </si>
  <si>
    <t>張 大軍</t>
    <phoneticPr fontId="4" type="noConversion"/>
  </si>
  <si>
    <t>D</t>
    <phoneticPr fontId="4" type="noConversion"/>
  </si>
  <si>
    <t>吳 小美</t>
    <phoneticPr fontId="4" type="noConversion"/>
  </si>
  <si>
    <t>B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</si>
  <si>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</si>
  <si>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</si>
  <si>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</si>
  <si>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</si>
  <si>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</si>
  <si>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</si>
  <si>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</si>
  <si>
    <t>英語能力測試結果</t>
    <phoneticPr fontId="4" type="noConversion"/>
  </si>
  <si>
    <t>聽力</t>
    <phoneticPr fontId="4" type="noConversion"/>
  </si>
  <si>
    <t>讀解</t>
    <phoneticPr fontId="4" type="noConversion"/>
  </si>
  <si>
    <t>數學能力測試結果</t>
    <phoneticPr fontId="4" type="noConversion"/>
  </si>
  <si>
    <t>公式</t>
    <phoneticPr fontId="4" type="noConversion"/>
  </si>
  <si>
    <t>統計</t>
    <phoneticPr fontId="4" type="noConversion"/>
  </si>
  <si>
    <t>圖型</t>
    <phoneticPr fontId="4" type="noConversion"/>
  </si>
  <si>
    <t>3教科測試結果</t>
    <phoneticPr fontId="4" type="noConversion"/>
  </si>
  <si>
    <t>編號</t>
    <phoneticPr fontId="4" type="noConversion"/>
  </si>
  <si>
    <t>姓名</t>
    <phoneticPr fontId="4" type="noConversion"/>
  </si>
  <si>
    <t>國語</t>
    <phoneticPr fontId="4" type="noConversion"/>
  </si>
  <si>
    <t>數學</t>
    <phoneticPr fontId="4" type="noConversion"/>
  </si>
  <si>
    <t>英語</t>
    <phoneticPr fontId="4" type="noConversion"/>
  </si>
  <si>
    <t>得分</t>
    <phoneticPr fontId="4" type="noConversion"/>
  </si>
  <si>
    <t>陳 大同</t>
    <phoneticPr fontId="4" type="noConversion"/>
  </si>
  <si>
    <t>黃 小霞</t>
    <phoneticPr fontId="4" type="noConversion"/>
  </si>
  <si>
    <t>張 大軍</t>
    <phoneticPr fontId="4" type="noConversion"/>
  </si>
  <si>
    <t>吳 小美</t>
    <phoneticPr fontId="4" type="noConversion"/>
  </si>
  <si>
    <t>張 小梅</t>
    <phoneticPr fontId="4" type="noConversion"/>
  </si>
  <si>
    <t>周 大飛</t>
    <phoneticPr fontId="4" type="noConversion"/>
  </si>
  <si>
    <t>何 小燕</t>
    <phoneticPr fontId="4" type="noConversion"/>
  </si>
  <si>
    <t>吳 大同</t>
    <phoneticPr fontId="4" type="noConversion"/>
  </si>
  <si>
    <t>蔡 小名</t>
    <phoneticPr fontId="4" type="noConversion"/>
  </si>
  <si>
    <t>黃 大敏</t>
    <phoneticPr fontId="4" type="noConversion"/>
  </si>
  <si>
    <t>平均分數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</si>
</sst>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2"/>
      <name val="新細明體"/>
      <family val="1"/>
      <charset val="136"/>
    </font>
    <font>
      <sz val="16"/>
      <color indexed="63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>
      <alignment horizontal="center"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0" fillId="0" borderId="1" xfId="0" applyBorder="1">
      <alignment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4" fontId="1" fillId="0" borderId="0" xfId="0" applyNumberFormat="1" applyFo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3">
    <cellStyle name="myTitle" xfId="1"/>
    <cellStyle name="Normal" xfId="0" builtinId="0"/>
    <cellStyle name="一般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'3教科'!$C$3</c:f>
              <c:strCache>
                <c:ptCount val="1"/>
                <c:pt idx="0">
                  <c:v>國語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'3教科'!$C$4:$C$13</c:f>
              <c:numCache>
                <c:formatCode>General</c:formatCode>
                <c:ptCount val="10"/>
                <c:pt idx="0">
                  <c:v>152</c:v>
                </c:pt>
                <c:pt idx="1">
                  <c:v>182</c:v>
                </c:pt>
                <c:pt idx="2">
                  <c:v>196</c:v>
                </c:pt>
                <c:pt idx="3">
                  <c:v>102</c:v>
                </c:pt>
                <c:pt idx="4">
                  <c:v>128</c:v>
                </c:pt>
                <c:pt idx="5">
                  <c:v>132</c:v>
                </c:pt>
                <c:pt idx="6">
                  <c:v>159</c:v>
                </c:pt>
                <c:pt idx="7">
                  <c:v>187</c:v>
                </c:pt>
                <c:pt idx="8">
                  <c:v>140</c:v>
                </c:pt>
                <c:pt idx="9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F-46C6-AF7B-2CC0A3076E0F}"/>
            </c:ext>
          </c:extLst>
        </c:ser>
        <c:ser>
          <c:idx val="1"/>
          <c:order val="1"/>
          <c:tx>
            <c:strRef>
              <c:f>'3教科'!$D$3</c:f>
              <c:strCache>
                <c:ptCount val="1"/>
                <c:pt idx="0">
                  <c:v>數學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'3教科'!$D$4:$D$13</c:f>
              <c:numCache>
                <c:formatCode>General</c:formatCode>
                <c:ptCount val="10"/>
                <c:pt idx="0">
                  <c:v>208</c:v>
                </c:pt>
                <c:pt idx="1">
                  <c:v>220</c:v>
                </c:pt>
                <c:pt idx="2">
                  <c:v>268</c:v>
                </c:pt>
                <c:pt idx="3">
                  <c:v>277</c:v>
                </c:pt>
                <c:pt idx="4">
                  <c:v>172</c:v>
                </c:pt>
                <c:pt idx="5">
                  <c:v>152</c:v>
                </c:pt>
                <c:pt idx="6">
                  <c:v>137</c:v>
                </c:pt>
                <c:pt idx="7">
                  <c:v>186</c:v>
                </c:pt>
                <c:pt idx="8">
                  <c:v>218</c:v>
                </c:pt>
                <c:pt idx="9">
                  <c:v>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F-46C6-AF7B-2CC0A3076E0F}"/>
            </c:ext>
          </c:extLst>
        </c:ser>
        <c:ser>
          <c:idx val="2"/>
          <c:order val="2"/>
          <c:tx>
            <c:strRef>
              <c:f>'3教科'!$E$3</c:f>
              <c:strCache>
                <c:ptCount val="1"/>
                <c:pt idx="0">
                  <c:v>英語</c:v>
                </c:pt>
              </c:strCache>
            </c:strRef>
          </c:tx>
          <c:invertIfNegative val="0"/>
          <c:cat>
            <c:strRef>
              <c:f>'3教科'!$B$4:$B$13</c:f>
              <c:strCache>
                <c:ptCount val="10"/>
                <c:pt idx="0">
                  <c:v>陳 大同</c:v>
                </c:pt>
                <c:pt idx="1">
                  <c:v>黃 小霞</c:v>
                </c:pt>
                <c:pt idx="2">
                  <c:v>張 大軍</c:v>
                </c:pt>
                <c:pt idx="3">
                  <c:v>吳 小美</c:v>
                </c:pt>
                <c:pt idx="4">
                  <c:v>張 小梅</c:v>
                </c:pt>
                <c:pt idx="5">
                  <c:v>周 大飛</c:v>
                </c:pt>
                <c:pt idx="6">
                  <c:v>何 小燕</c:v>
                </c:pt>
                <c:pt idx="7">
                  <c:v>吳 大同</c:v>
                </c:pt>
                <c:pt idx="8">
                  <c:v>蔡 小名</c:v>
                </c:pt>
                <c:pt idx="9">
                  <c:v>黃 大敏</c:v>
                </c:pt>
              </c:strCache>
            </c:strRef>
          </c:cat>
          <c:val>
            <c:numRef>
              <c:f>'3教科'!$E$4:$E$13</c:f>
              <c:numCache>
                <c:formatCode>General</c:formatCode>
                <c:ptCount val="10"/>
                <c:pt idx="0">
                  <c:v>95</c:v>
                </c:pt>
                <c:pt idx="1">
                  <c:v>138</c:v>
                </c:pt>
                <c:pt idx="2">
                  <c:v>130</c:v>
                </c:pt>
                <c:pt idx="3">
                  <c:v>149</c:v>
                </c:pt>
                <c:pt idx="4">
                  <c:v>156</c:v>
                </c:pt>
                <c:pt idx="5">
                  <c:v>104</c:v>
                </c:pt>
                <c:pt idx="6">
                  <c:v>182</c:v>
                </c:pt>
                <c:pt idx="7">
                  <c:v>174</c:v>
                </c:pt>
                <c:pt idx="8">
                  <c:v>164</c:v>
                </c:pt>
                <c:pt idx="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EF-46C6-AF7B-2CC0A3076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18691919"/>
        <c:axId val="1"/>
      </c:barChart>
      <c:catAx>
        <c:axId val="1018691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18691919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15</xdr:row>
      <xdr:rowOff>66675</xdr:rowOff>
    </xdr:from>
    <xdr:to>
      <xdr:col>5</xdr:col>
      <xdr:colOff>171450</xdr:colOff>
      <xdr:row>25</xdr:row>
      <xdr:rowOff>57150</xdr:rowOff>
    </xdr:to>
    <xdr:graphicFrame macro="">
      <xdr:nvGraphicFramePr>
        <xdr:cNvPr id="1027" name="圖表 1">
          <a:extLst>
            <a:ext uri="{FF2B5EF4-FFF2-40B4-BE49-F238E27FC236}">
              <a16:creationId xmlns:a16="http://schemas.microsoft.com/office/drawing/2014/main" id="{94985806-2CB6-4658-BFAA-DE8550CDD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4"/>
  <sheetViews>
    <sheetView tabSelected="1" zoomScaleNormal="100" workbookViewId="0"/>
  </sheetViews>
  <sheetFormatPr defaultRowHeight="16.5" x14ac:dyDescent="0.25"/>
  <sheetData>
    <row r="1" spans="1:6" x14ac:dyDescent="0.25">
      <c r="A1" t="s">
        <v>29</v>
      </c>
    </row>
    <row r="2" spans="1:6" s="2" customFormat="1" x14ac:dyDescent="0.25"/>
    <row r="3" spans="1:6" s="2" customFormat="1" x14ac:dyDescent="0.25">
      <c r="A3" s="7" t="s">
        <v>30</v>
      </c>
      <c r="B3" s="7" t="s">
        <v>31</v>
      </c>
      <c r="C3" s="7" t="s">
        <v>32</v>
      </c>
      <c r="D3" s="7" t="s">
        <v>33</v>
      </c>
      <c r="E3" s="7" t="s">
        <v>34</v>
      </c>
      <c r="F3" s="7" t="s">
        <v>35</v>
      </c>
    </row>
    <row r="4" spans="1:6" s="2" customFormat="1" x14ac:dyDescent="0.25">
      <c r="A4" s="4">
        <v>1</v>
      </c>
      <c r="B4" s="5" t="s">
        <v>36</v>
      </c>
      <c r="C4" s="4">
        <v>152</v>
      </c>
      <c r="D4" s="4">
        <v>208</v>
      </c>
      <c r="E4" s="4">
        <v>95</v>
      </c>
      <c r="F4" s="4">
        <f>SUM(C4:E4)</f>
        <v>455</v>
      </c>
    </row>
    <row r="5" spans="1:6" s="2" customFormat="1" x14ac:dyDescent="0.25">
      <c r="A5" s="4">
        <v>2</v>
      </c>
      <c r="B5" s="5" t="s">
        <v>37</v>
      </c>
      <c r="C5" s="4">
        <v>182</v>
      </c>
      <c r="D5" s="4">
        <v>220</v>
      </c>
      <c r="E5" s="4">
        <v>138</v>
      </c>
      <c r="F5" s="4">
        <f t="shared" ref="F5:F13" si="0">SUM(C5:E5)</f>
        <v>540</v>
      </c>
    </row>
    <row r="6" spans="1:6" s="2" customFormat="1" x14ac:dyDescent="0.25">
      <c r="A6" s="4">
        <v>3</v>
      </c>
      <c r="B6" s="5" t="s">
        <v>38</v>
      </c>
      <c r="C6" s="4">
        <v>196</v>
      </c>
      <c r="D6" s="4">
        <v>268</v>
      </c>
      <c r="E6" s="4">
        <v>130</v>
      </c>
      <c r="F6" s="4">
        <f t="shared" si="0"/>
        <v>594</v>
      </c>
    </row>
    <row r="7" spans="1:6" s="2" customFormat="1" x14ac:dyDescent="0.25">
      <c r="A7" s="4">
        <v>4</v>
      </c>
      <c r="B7" s="5" t="s">
        <v>39</v>
      </c>
      <c r="C7" s="4">
        <v>102</v>
      </c>
      <c r="D7" s="4">
        <v>277</v>
      </c>
      <c r="E7" s="4">
        <v>149</v>
      </c>
      <c r="F7" s="4">
        <f t="shared" si="0"/>
        <v>528</v>
      </c>
    </row>
    <row r="8" spans="1:6" s="2" customFormat="1" x14ac:dyDescent="0.25">
      <c r="A8" s="4">
        <v>5</v>
      </c>
      <c r="B8" s="5" t="s">
        <v>40</v>
      </c>
      <c r="C8" s="4">
        <v>128</v>
      </c>
      <c r="D8" s="4">
        <v>172</v>
      </c>
      <c r="E8" s="4">
        <v>156</v>
      </c>
      <c r="F8" s="4">
        <f t="shared" si="0"/>
        <v>456</v>
      </c>
    </row>
    <row r="9" spans="1:6" s="2" customFormat="1" x14ac:dyDescent="0.25">
      <c r="A9" s="4">
        <v>6</v>
      </c>
      <c r="B9" s="5" t="s">
        <v>41</v>
      </c>
      <c r="C9" s="4">
        <v>132</v>
      </c>
      <c r="D9" s="4">
        <v>152</v>
      </c>
      <c r="E9" s="4">
        <v>104</v>
      </c>
      <c r="F9" s="4">
        <f t="shared" si="0"/>
        <v>388</v>
      </c>
    </row>
    <row r="10" spans="1:6" s="2" customFormat="1" x14ac:dyDescent="0.25">
      <c r="A10" s="4">
        <v>7</v>
      </c>
      <c r="B10" s="5" t="s">
        <v>42</v>
      </c>
      <c r="C10" s="4">
        <v>159</v>
      </c>
      <c r="D10" s="4">
        <v>137</v>
      </c>
      <c r="E10" s="4">
        <v>182</v>
      </c>
      <c r="F10" s="4">
        <f t="shared" si="0"/>
        <v>478</v>
      </c>
    </row>
    <row r="11" spans="1:6" s="2" customFormat="1" x14ac:dyDescent="0.25">
      <c r="A11" s="4">
        <v>8</v>
      </c>
      <c r="B11" s="5" t="s">
        <v>43</v>
      </c>
      <c r="C11" s="4">
        <v>187</v>
      </c>
      <c r="D11" s="4">
        <v>186</v>
      </c>
      <c r="E11" s="4">
        <v>174</v>
      </c>
      <c r="F11" s="4">
        <f t="shared" si="0"/>
        <v>547</v>
      </c>
    </row>
    <row r="12" spans="1:6" s="2" customFormat="1" x14ac:dyDescent="0.25">
      <c r="A12" s="4">
        <v>9</v>
      </c>
      <c r="B12" s="5" t="s">
        <v>44</v>
      </c>
      <c r="C12" s="4">
        <v>140</v>
      </c>
      <c r="D12" s="4">
        <v>218</v>
      </c>
      <c r="E12" s="4">
        <v>164</v>
      </c>
      <c r="F12" s="4">
        <f t="shared" si="0"/>
        <v>522</v>
      </c>
    </row>
    <row r="13" spans="1:6" s="2" customFormat="1" x14ac:dyDescent="0.25">
      <c r="A13" s="4">
        <v>10</v>
      </c>
      <c r="B13" s="4" t="s">
        <v>45</v>
      </c>
      <c r="C13" s="4">
        <v>108</v>
      </c>
      <c r="D13" s="4">
        <v>271</v>
      </c>
      <c r="E13" s="4">
        <v>196</v>
      </c>
      <c r="F13" s="4">
        <f t="shared" si="0"/>
        <v>575</v>
      </c>
    </row>
    <row r="14" spans="1:6" s="2" customFormat="1" x14ac:dyDescent="0.25">
      <c r="A14" s="10" t="s">
        <v>46</v>
      </c>
      <c r="B14" s="10"/>
      <c r="C14" s="4">
        <f>AVERAGE(C4:C13)</f>
        <v>148.6</v>
      </c>
      <c r="D14" s="4">
        <f>AVERAGE(D4:D13)</f>
        <v>210.9</v>
      </c>
      <c r="E14" s="4">
        <f>AVERAGE(E4:E13)</f>
        <v>148.80000000000001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/>
  </sheetViews>
  <sheetFormatPr defaultRowHeight="16.5" x14ac:dyDescent="0.25"/>
  <cols>
    <col min="1" max="16384" width="9" style="1"/>
  </cols>
  <sheetData>
    <row r="1" spans="1:6" s="2" customFormat="1" x14ac:dyDescent="0.25">
      <c r="A1" s="2" t="s">
        <v>0</v>
      </c>
    </row>
    <row r="2" spans="1:6" s="2" customFormat="1" x14ac:dyDescent="0.25"/>
    <row r="3" spans="1:6" s="2" customFormat="1" x14ac:dyDescent="0.2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1" t="s">
        <v>21</v>
      </c>
      <c r="B14" s="11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/>
  </sheetViews>
  <sheetFormatPr defaultRowHeight="16.5" x14ac:dyDescent="0.25"/>
  <sheetData>
    <row r="1" spans="1:7" s="2" customFormat="1" x14ac:dyDescent="0.25">
      <c r="A1" s="2" t="s">
        <v>25</v>
      </c>
      <c r="G1" s="8"/>
    </row>
    <row r="2" spans="1:7" s="2" customFormat="1" x14ac:dyDescent="0.25"/>
    <row r="3" spans="1:7" s="2" customFormat="1" x14ac:dyDescent="0.25">
      <c r="A3" s="9" t="s">
        <v>1</v>
      </c>
      <c r="B3" s="9" t="s">
        <v>2</v>
      </c>
      <c r="C3" s="9" t="s">
        <v>26</v>
      </c>
      <c r="D3" s="9" t="s">
        <v>27</v>
      </c>
      <c r="E3" s="9" t="s">
        <v>28</v>
      </c>
      <c r="F3" s="9" t="s">
        <v>5</v>
      </c>
      <c r="G3" s="9" t="s">
        <v>6</v>
      </c>
    </row>
    <row r="4" spans="1:7" s="2" customFormat="1" x14ac:dyDescent="0.25">
      <c r="A4" s="4">
        <v>1</v>
      </c>
      <c r="B4" s="5" t="s">
        <v>7</v>
      </c>
      <c r="C4" s="4">
        <v>66</v>
      </c>
      <c r="D4" s="4">
        <v>78</v>
      </c>
      <c r="E4" s="4">
        <v>64</v>
      </c>
      <c r="F4" s="4">
        <f>SUM(C4:E4)</f>
        <v>208</v>
      </c>
      <c r="G4" s="6" t="s">
        <v>14</v>
      </c>
    </row>
    <row r="5" spans="1:7" s="2" customFormat="1" x14ac:dyDescent="0.25">
      <c r="A5" s="4">
        <v>2</v>
      </c>
      <c r="B5" s="5" t="s">
        <v>9</v>
      </c>
      <c r="C5" s="4">
        <v>80</v>
      </c>
      <c r="D5" s="4">
        <v>69</v>
      </c>
      <c r="E5" s="4">
        <v>71</v>
      </c>
      <c r="F5" s="4">
        <f t="shared" ref="F5:F13" si="0">SUM(C5:E5)</f>
        <v>220</v>
      </c>
      <c r="G5" s="6" t="s">
        <v>14</v>
      </c>
    </row>
    <row r="6" spans="1:7" s="2" customFormat="1" x14ac:dyDescent="0.25">
      <c r="A6" s="4">
        <v>3</v>
      </c>
      <c r="B6" s="5" t="s">
        <v>11</v>
      </c>
      <c r="C6" s="4">
        <v>92</v>
      </c>
      <c r="D6" s="4">
        <v>96</v>
      </c>
      <c r="E6" s="4">
        <v>80</v>
      </c>
      <c r="F6" s="4">
        <f t="shared" si="0"/>
        <v>268</v>
      </c>
      <c r="G6" s="6" t="s">
        <v>8</v>
      </c>
    </row>
    <row r="7" spans="1:7" s="2" customFormat="1" x14ac:dyDescent="0.25">
      <c r="A7" s="4">
        <v>4</v>
      </c>
      <c r="B7" s="5" t="s">
        <v>13</v>
      </c>
      <c r="C7" s="4">
        <v>100</v>
      </c>
      <c r="D7" s="4">
        <v>89</v>
      </c>
      <c r="E7" s="4">
        <v>88</v>
      </c>
      <c r="F7" s="4">
        <f t="shared" si="0"/>
        <v>277</v>
      </c>
      <c r="G7" s="6" t="s">
        <v>8</v>
      </c>
    </row>
    <row r="8" spans="1:7" s="2" customFormat="1" x14ac:dyDescent="0.25">
      <c r="A8" s="4">
        <v>5</v>
      </c>
      <c r="B8" s="5" t="s">
        <v>15</v>
      </c>
      <c r="C8" s="4">
        <v>55</v>
      </c>
      <c r="D8" s="4">
        <v>77</v>
      </c>
      <c r="E8" s="4">
        <v>40</v>
      </c>
      <c r="F8" s="4">
        <f t="shared" si="0"/>
        <v>172</v>
      </c>
      <c r="G8" s="6" t="s">
        <v>10</v>
      </c>
    </row>
    <row r="9" spans="1:7" s="2" customFormat="1" x14ac:dyDescent="0.25">
      <c r="A9" s="4">
        <v>6</v>
      </c>
      <c r="B9" s="5" t="s">
        <v>16</v>
      </c>
      <c r="C9" s="4">
        <v>63</v>
      </c>
      <c r="D9" s="4">
        <v>48</v>
      </c>
      <c r="E9" s="4">
        <v>41</v>
      </c>
      <c r="F9" s="4">
        <f t="shared" si="0"/>
        <v>152</v>
      </c>
      <c r="G9" s="6" t="s">
        <v>10</v>
      </c>
    </row>
    <row r="10" spans="1:7" s="2" customFormat="1" x14ac:dyDescent="0.25">
      <c r="A10" s="4">
        <v>7</v>
      </c>
      <c r="B10" s="5" t="s">
        <v>17</v>
      </c>
      <c r="C10" s="4">
        <v>41</v>
      </c>
      <c r="D10" s="4">
        <v>45</v>
      </c>
      <c r="E10" s="4">
        <v>51</v>
      </c>
      <c r="F10" s="4">
        <f t="shared" si="0"/>
        <v>137</v>
      </c>
      <c r="G10" s="6" t="s">
        <v>12</v>
      </c>
    </row>
    <row r="11" spans="1:7" s="2" customFormat="1" x14ac:dyDescent="0.25">
      <c r="A11" s="4">
        <v>8</v>
      </c>
      <c r="B11" s="5" t="s">
        <v>18</v>
      </c>
      <c r="C11" s="4">
        <v>51</v>
      </c>
      <c r="D11" s="4">
        <v>72</v>
      </c>
      <c r="E11" s="4">
        <v>63</v>
      </c>
      <c r="F11" s="4">
        <f t="shared" si="0"/>
        <v>186</v>
      </c>
      <c r="G11" s="6" t="s">
        <v>10</v>
      </c>
    </row>
    <row r="12" spans="1:7" s="2" customFormat="1" x14ac:dyDescent="0.25">
      <c r="A12" s="4">
        <v>9</v>
      </c>
      <c r="B12" s="5" t="s">
        <v>19</v>
      </c>
      <c r="C12" s="4">
        <v>69</v>
      </c>
      <c r="D12" s="4">
        <v>75</v>
      </c>
      <c r="E12" s="4">
        <v>74</v>
      </c>
      <c r="F12" s="4">
        <f t="shared" si="0"/>
        <v>218</v>
      </c>
      <c r="G12" s="6" t="s">
        <v>14</v>
      </c>
    </row>
    <row r="13" spans="1:7" s="2" customFormat="1" x14ac:dyDescent="0.25">
      <c r="A13" s="4">
        <v>10</v>
      </c>
      <c r="B13" s="4" t="s">
        <v>20</v>
      </c>
      <c r="C13" s="4">
        <v>89</v>
      </c>
      <c r="D13" s="4">
        <v>92</v>
      </c>
      <c r="E13" s="4">
        <v>90</v>
      </c>
      <c r="F13" s="4">
        <f t="shared" si="0"/>
        <v>271</v>
      </c>
      <c r="G13" s="6" t="s">
        <v>8</v>
      </c>
    </row>
    <row r="14" spans="1:7" s="2" customFormat="1" x14ac:dyDescent="0.25">
      <c r="A14" s="12" t="s">
        <v>21</v>
      </c>
      <c r="B14" s="12"/>
      <c r="C14" s="4">
        <f>AVERAGE(C4:C13)</f>
        <v>70.599999999999994</v>
      </c>
      <c r="D14" s="4">
        <f>AVERAGE(D4:D13)</f>
        <v>74.099999999999994</v>
      </c>
      <c r="E14" s="4">
        <f>AVERAGE(E4:E13)</f>
        <v>66.2</v>
      </c>
      <c r="F14" s="4">
        <f>AVERAGE(F4:F13)</f>
        <v>210.9</v>
      </c>
      <c r="G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4"/>
  <sheetViews>
    <sheetView workbookViewId="0"/>
  </sheetViews>
  <sheetFormatPr defaultRowHeight="16.5" x14ac:dyDescent="0.25"/>
  <sheetData>
    <row r="1" spans="1:6" s="2" customFormat="1" x14ac:dyDescent="0.25">
      <c r="A1" s="2" t="s">
        <v>22</v>
      </c>
    </row>
    <row r="2" spans="1:6" s="2" customFormat="1" x14ac:dyDescent="0.25"/>
    <row r="3" spans="1:6" s="2" customFormat="1" x14ac:dyDescent="0.25">
      <c r="A3" s="7" t="s">
        <v>1</v>
      </c>
      <c r="B3" s="7" t="s">
        <v>2</v>
      </c>
      <c r="C3" s="7" t="s">
        <v>23</v>
      </c>
      <c r="D3" s="7" t="s">
        <v>24</v>
      </c>
      <c r="E3" s="7" t="s">
        <v>5</v>
      </c>
      <c r="F3" s="7" t="s">
        <v>6</v>
      </c>
    </row>
    <row r="4" spans="1:6" s="2" customFormat="1" x14ac:dyDescent="0.25">
      <c r="A4" s="4">
        <v>1</v>
      </c>
      <c r="B4" s="5" t="s">
        <v>7</v>
      </c>
      <c r="C4" s="4">
        <v>96</v>
      </c>
      <c r="D4" s="4">
        <v>88</v>
      </c>
      <c r="E4" s="4">
        <f>SUM(C4:D4)</f>
        <v>184</v>
      </c>
      <c r="F4" s="6" t="s">
        <v>8</v>
      </c>
    </row>
    <row r="5" spans="1:6" s="2" customFormat="1" x14ac:dyDescent="0.25">
      <c r="A5" s="4">
        <v>2</v>
      </c>
      <c r="B5" s="5" t="s">
        <v>9</v>
      </c>
      <c r="C5" s="4">
        <v>88</v>
      </c>
      <c r="D5" s="4">
        <v>42</v>
      </c>
      <c r="E5" s="4">
        <f t="shared" ref="E5:E13" si="0">SUM(C5:D5)</f>
        <v>130</v>
      </c>
      <c r="F5" s="6" t="s">
        <v>10</v>
      </c>
    </row>
    <row r="6" spans="1:6" s="2" customFormat="1" x14ac:dyDescent="0.25">
      <c r="A6" s="4">
        <v>3</v>
      </c>
      <c r="B6" s="5" t="s">
        <v>11</v>
      </c>
      <c r="C6" s="4">
        <v>23</v>
      </c>
      <c r="D6" s="4">
        <v>45</v>
      </c>
      <c r="E6" s="4">
        <f t="shared" si="0"/>
        <v>68</v>
      </c>
      <c r="F6" s="6" t="s">
        <v>12</v>
      </c>
    </row>
    <row r="7" spans="1:6" s="2" customFormat="1" x14ac:dyDescent="0.25">
      <c r="A7" s="4">
        <v>4</v>
      </c>
      <c r="B7" s="5" t="s">
        <v>13</v>
      </c>
      <c r="C7" s="4">
        <v>91</v>
      </c>
      <c r="D7" s="4">
        <v>58</v>
      </c>
      <c r="E7" s="4">
        <f t="shared" si="0"/>
        <v>149</v>
      </c>
      <c r="F7" s="6" t="s">
        <v>14</v>
      </c>
    </row>
    <row r="8" spans="1:6" s="2" customFormat="1" x14ac:dyDescent="0.25">
      <c r="A8" s="4">
        <v>5</v>
      </c>
      <c r="B8" s="5" t="s">
        <v>15</v>
      </c>
      <c r="C8" s="4">
        <v>63</v>
      </c>
      <c r="D8" s="4">
        <v>93</v>
      </c>
      <c r="E8" s="4">
        <f t="shared" si="0"/>
        <v>156</v>
      </c>
      <c r="F8" s="6" t="s">
        <v>14</v>
      </c>
    </row>
    <row r="9" spans="1:6" s="2" customFormat="1" x14ac:dyDescent="0.25">
      <c r="A9" s="4">
        <v>6</v>
      </c>
      <c r="B9" s="5" t="s">
        <v>16</v>
      </c>
      <c r="C9" s="4">
        <v>57</v>
      </c>
      <c r="D9" s="4">
        <v>47</v>
      </c>
      <c r="E9" s="4">
        <f t="shared" si="0"/>
        <v>104</v>
      </c>
      <c r="F9" s="6" t="s">
        <v>12</v>
      </c>
    </row>
    <row r="10" spans="1:6" s="2" customFormat="1" x14ac:dyDescent="0.25">
      <c r="A10" s="4">
        <v>7</v>
      </c>
      <c r="B10" s="5" t="s">
        <v>17</v>
      </c>
      <c r="C10" s="4">
        <v>70</v>
      </c>
      <c r="D10" s="4">
        <v>65</v>
      </c>
      <c r="E10" s="4">
        <f t="shared" si="0"/>
        <v>135</v>
      </c>
      <c r="F10" s="6" t="s">
        <v>10</v>
      </c>
    </row>
    <row r="11" spans="1:6" s="2" customFormat="1" x14ac:dyDescent="0.25">
      <c r="A11" s="4">
        <v>8</v>
      </c>
      <c r="B11" s="5" t="s">
        <v>18</v>
      </c>
      <c r="C11" s="4">
        <v>93</v>
      </c>
      <c r="D11" s="4">
        <v>81</v>
      </c>
      <c r="E11" s="4">
        <f t="shared" si="0"/>
        <v>174</v>
      </c>
      <c r="F11" s="6" t="s">
        <v>8</v>
      </c>
    </row>
    <row r="12" spans="1:6" s="2" customFormat="1" x14ac:dyDescent="0.25">
      <c r="A12" s="4">
        <v>9</v>
      </c>
      <c r="B12" s="5" t="s">
        <v>19</v>
      </c>
      <c r="C12" s="4">
        <v>33</v>
      </c>
      <c r="D12" s="4">
        <v>87</v>
      </c>
      <c r="E12" s="4">
        <f t="shared" si="0"/>
        <v>120</v>
      </c>
      <c r="F12" s="6" t="s">
        <v>12</v>
      </c>
    </row>
    <row r="13" spans="1:6" s="2" customFormat="1" x14ac:dyDescent="0.25">
      <c r="A13" s="4">
        <v>10</v>
      </c>
      <c r="B13" s="4" t="s">
        <v>20</v>
      </c>
      <c r="C13" s="4">
        <v>100</v>
      </c>
      <c r="D13" s="4">
        <v>96</v>
      </c>
      <c r="E13" s="4">
        <f t="shared" si="0"/>
        <v>196</v>
      </c>
      <c r="F13" s="6" t="s">
        <v>8</v>
      </c>
    </row>
    <row r="14" spans="1:6" s="2" customFormat="1" x14ac:dyDescent="0.25">
      <c r="A14" s="10" t="s">
        <v>21</v>
      </c>
      <c r="B14" s="10"/>
      <c r="C14" s="4">
        <f>AVERAGE(C4:C13)</f>
        <v>71.400000000000006</v>
      </c>
      <c r="D14" s="4">
        <f>AVERAGE(D4:D13)</f>
        <v>70.2</v>
      </c>
      <c r="E14" s="4">
        <f>AVERAGE(E4:E13)</f>
        <v>141.6</v>
      </c>
      <c r="F14" s="4"/>
    </row>
  </sheetData>
  <mergeCells count="1">
    <mergeCell ref="A14:B1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3教科</vt:lpstr>
      <vt:lpstr>國語測試</vt:lpstr>
      <vt:lpstr>數學測試</vt:lpstr>
      <vt:lpstr>英語測試</vt:lpstr>
    </vt:vector>
  </TitlesOfParts>
  <Company>888TIGER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cp:lastPrinted>2010-06-08T08:14:18Z</cp:lastPrinted>
  <dcterms:created xsi:type="dcterms:W3CDTF">2009-08-21T04:47:54Z</dcterms:created>
  <dcterms:modified xsi:type="dcterms:W3CDTF">2021-03-26T15:30:11Z</dcterms:modified>
</cp:coreProperties>
</file>