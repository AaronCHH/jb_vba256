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7\"/>
    </mc:Choice>
  </mc:AlternateContent>
  <xr:revisionPtr revIDLastSave="0" documentId="8_{30D9560E-C919-4B35-8621-054ADF201D7C}" xr6:coauthVersionLast="46" xr6:coauthVersionMax="46" xr10:uidLastSave="{00000000-0000-0000-0000-000000000000}"/>
  <bookViews>
    <workbookView xWindow="1170" yWindow="1170" windowWidth="16740" windowHeight="12930" tabRatio="398"/>
  </bookViews>
  <sheets>
    <sheet name="Sheet1" sheetId="4" r:id="rId1"/>
    <sheet name="Sheet2" sheetId="6" r:id="rId2"/>
    <sheet name="Sheet3" sheetId="5" r:id="rId3"/>
  </sheets>
  <definedNames>
    <definedName name="商品買家">Sheet1!$G$2:$I$9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4" l="1"/>
  <c r="E14" i="4"/>
  <c r="E15" i="4"/>
  <c r="E16" i="4"/>
  <c r="E17" i="4"/>
  <c r="E18" i="4"/>
  <c r="E19" i="4"/>
  <c r="E13" i="4"/>
  <c r="E21" i="4" s="1"/>
  <c r="C10" i="6"/>
  <c r="E3" i="6"/>
  <c r="E3" i="4"/>
  <c r="E23" i="4" l="1"/>
</calcChain>
</file>

<file path=xl/sharedStrings.xml><?xml version="1.0" encoding="utf-8"?>
<sst xmlns="http://schemas.openxmlformats.org/spreadsheetml/2006/main" count="73" uniqueCount="44">
  <si>
    <t>編號</t>
    <phoneticPr fontId="4" type="noConversion"/>
  </si>
  <si>
    <t>單價</t>
    <phoneticPr fontId="4" type="noConversion"/>
  </si>
  <si>
    <t>商品名</t>
    <phoneticPr fontId="4" type="noConversion"/>
  </si>
  <si>
    <t>液晶電視</t>
    <phoneticPr fontId="4" type="noConversion"/>
  </si>
  <si>
    <t>電漿電視</t>
    <phoneticPr fontId="4" type="noConversion"/>
  </si>
  <si>
    <t>攜帶電視</t>
    <phoneticPr fontId="4" type="noConversion"/>
  </si>
  <si>
    <t>DVD錄影機</t>
    <phoneticPr fontId="4" type="noConversion"/>
  </si>
  <si>
    <r>
      <t>D</t>
    </r>
    <r>
      <rPr>
        <sz val="12"/>
        <color indexed="8"/>
        <rFont val="新細明體"/>
        <family val="1"/>
        <charset val="136"/>
      </rPr>
      <t>VD播放機</t>
    </r>
    <phoneticPr fontId="4" type="noConversion"/>
  </si>
  <si>
    <t>放影機</t>
    <phoneticPr fontId="4" type="noConversion"/>
  </si>
  <si>
    <r>
      <t>H</t>
    </r>
    <r>
      <rPr>
        <sz val="12"/>
        <color indexed="8"/>
        <rFont val="新細明體"/>
        <family val="1"/>
        <charset val="136"/>
      </rPr>
      <t>DD錄影機</t>
    </r>
    <phoneticPr fontId="4" type="noConversion"/>
  </si>
  <si>
    <t>店員姓名</t>
    <phoneticPr fontId="4" type="noConversion"/>
  </si>
  <si>
    <t>店員編碼</t>
    <phoneticPr fontId="4" type="noConversion"/>
  </si>
  <si>
    <t>T2301</t>
    <phoneticPr fontId="4" type="noConversion"/>
  </si>
  <si>
    <t>T2302</t>
  </si>
  <si>
    <t>T2303</t>
  </si>
  <si>
    <t>T2304</t>
  </si>
  <si>
    <t>黃</t>
    <phoneticPr fontId="4" type="noConversion"/>
  </si>
  <si>
    <t>陳</t>
    <phoneticPr fontId="4" type="noConversion"/>
  </si>
  <si>
    <t>張</t>
    <phoneticPr fontId="4" type="noConversion"/>
  </si>
  <si>
    <t>李</t>
    <phoneticPr fontId="4" type="noConversion"/>
  </si>
  <si>
    <t>送貨單</t>
    <phoneticPr fontId="4" type="noConversion"/>
  </si>
  <si>
    <t>先生</t>
    <phoneticPr fontId="4" type="noConversion"/>
  </si>
  <si>
    <t>送貨日</t>
    <phoneticPr fontId="4" type="noConversion"/>
  </si>
  <si>
    <t>王大同</t>
    <phoneticPr fontId="4" type="noConversion"/>
  </si>
  <si>
    <t>精品電氣   台北店</t>
    <phoneticPr fontId="4" type="noConversion"/>
  </si>
  <si>
    <t>111-11</t>
    <phoneticPr fontId="4" type="noConversion"/>
  </si>
  <si>
    <r>
      <t>台北市士林區X</t>
    </r>
    <r>
      <rPr>
        <sz val="12"/>
        <color theme="1"/>
        <rFont val="新細明體"/>
        <family val="1"/>
        <charset val="136"/>
        <scheme val="minor"/>
      </rPr>
      <t>XXX</t>
    </r>
    <phoneticPr fontId="4" type="noConversion"/>
  </si>
  <si>
    <r>
      <t>T</t>
    </r>
    <r>
      <rPr>
        <sz val="12"/>
        <color theme="1"/>
        <rFont val="新細明體"/>
        <family val="1"/>
        <charset val="136"/>
        <scheme val="minor"/>
      </rPr>
      <t>EL: 02-1234-5678</t>
    </r>
    <phoneticPr fontId="4" type="noConversion"/>
  </si>
  <si>
    <t>合計金額</t>
    <phoneticPr fontId="4" type="noConversion"/>
  </si>
  <si>
    <t>商品編號</t>
    <phoneticPr fontId="4" type="noConversion"/>
  </si>
  <si>
    <t>商品名</t>
    <phoneticPr fontId="4" type="noConversion"/>
  </si>
  <si>
    <t>單價</t>
    <phoneticPr fontId="4" type="noConversion"/>
  </si>
  <si>
    <t>數量</t>
    <phoneticPr fontId="4" type="noConversion"/>
  </si>
  <si>
    <t>金額</t>
    <phoneticPr fontId="4" type="noConversion"/>
  </si>
  <si>
    <t>合計</t>
    <phoneticPr fontId="4" type="noConversion"/>
  </si>
  <si>
    <t>消費稅</t>
    <phoneticPr fontId="4" type="noConversion"/>
  </si>
  <si>
    <t>入稅價格</t>
    <phoneticPr fontId="4" type="noConversion"/>
  </si>
  <si>
    <t>液晶電視</t>
  </si>
  <si>
    <t>電漿電視</t>
  </si>
  <si>
    <t>攜帶電視</t>
  </si>
  <si>
    <t>DVD錄影機</t>
  </si>
  <si>
    <t>DVD播放機</t>
  </si>
  <si>
    <t>放影機</t>
  </si>
  <si>
    <t>HDD錄影機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</si>
</sst>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6" formatCode="&quot;$&quot;#,##0"/>
  </numFmts>
  <fonts count="10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i/>
      <sz val="12"/>
      <color indexed="8"/>
      <name val="新細明體"/>
      <family val="1"/>
      <charset val="136"/>
    </font>
    <font>
      <b/>
      <sz val="14"/>
      <color indexed="8"/>
      <name val="新細明體"/>
      <family val="1"/>
      <charset val="136"/>
    </font>
    <font>
      <sz val="14"/>
      <color indexed="8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43">
    <xf numFmtId="0" fontId="0" fillId="0" borderId="0" xfId="0">
      <alignment vertical="center"/>
    </xf>
    <xf numFmtId="0" fontId="5" fillId="0" borderId="0" xfId="0" applyFont="1">
      <alignment vertical="center"/>
    </xf>
    <xf numFmtId="14" fontId="7" fillId="0" borderId="0" xfId="0" applyNumberFormat="1" applyFont="1">
      <alignment vertical="center"/>
    </xf>
    <xf numFmtId="0" fontId="1" fillId="3" borderId="0" xfId="0" applyFont="1" applyFill="1" applyAlignment="1">
      <alignment horizontal="center" vertical="center"/>
    </xf>
    <xf numFmtId="186" fontId="5" fillId="0" borderId="0" xfId="0" applyNumberFormat="1" applyFont="1">
      <alignment vertical="center"/>
    </xf>
    <xf numFmtId="0" fontId="5" fillId="0" borderId="0" xfId="0" applyFont="1" applyBorder="1">
      <alignment vertical="center"/>
    </xf>
    <xf numFmtId="0" fontId="0" fillId="0" borderId="0" xfId="0" applyBorder="1">
      <alignment vertical="center"/>
    </xf>
    <xf numFmtId="186" fontId="5" fillId="0" borderId="0" xfId="0" applyNumberFormat="1" applyFont="1" applyBorder="1">
      <alignment vertical="center"/>
    </xf>
    <xf numFmtId="0" fontId="1" fillId="0" borderId="0" xfId="0" applyFont="1" applyBorder="1">
      <alignment vertical="center"/>
    </xf>
    <xf numFmtId="0" fontId="6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14" fontId="5" fillId="0" borderId="1" xfId="0" applyNumberFormat="1" applyFont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6" fillId="0" borderId="2" xfId="0" applyFont="1" applyBorder="1" applyAlignment="1">
      <alignment horizontal="right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86" fontId="1" fillId="3" borderId="4" xfId="0" applyNumberFormat="1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0" borderId="0" xfId="0" applyFont="1">
      <alignment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>
      <alignment vertical="center"/>
    </xf>
    <xf numFmtId="186" fontId="0" fillId="0" borderId="7" xfId="0" applyNumberFormat="1" applyBorder="1">
      <alignment vertical="center"/>
    </xf>
    <xf numFmtId="186" fontId="1" fillId="0" borderId="7" xfId="0" applyNumberFormat="1" applyFont="1" applyBorder="1">
      <alignment vertical="center"/>
    </xf>
    <xf numFmtId="186" fontId="1" fillId="0" borderId="8" xfId="0" applyNumberFormat="1" applyFont="1" applyBorder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>
      <alignment vertical="center"/>
    </xf>
    <xf numFmtId="186" fontId="1" fillId="0" borderId="10" xfId="0" applyNumberFormat="1" applyFont="1" applyBorder="1">
      <alignment vertical="center"/>
    </xf>
    <xf numFmtId="186" fontId="1" fillId="0" borderId="11" xfId="0" applyNumberFormat="1" applyFont="1" applyBorder="1">
      <alignment vertical="center"/>
    </xf>
    <xf numFmtId="0" fontId="1" fillId="0" borderId="3" xfId="0" applyFont="1" applyBorder="1" applyAlignment="1">
      <alignment horizontal="right" vertical="center"/>
    </xf>
    <xf numFmtId="186" fontId="1" fillId="0" borderId="5" xfId="0" applyNumberFormat="1" applyFont="1" applyBorder="1">
      <alignment vertical="center"/>
    </xf>
    <xf numFmtId="0" fontId="1" fillId="0" borderId="12" xfId="0" applyFont="1" applyBorder="1" applyAlignment="1">
      <alignment horizontal="right" vertical="center"/>
    </xf>
    <xf numFmtId="186" fontId="1" fillId="0" borderId="13" xfId="0" applyNumberFormat="1" applyFont="1" applyBorder="1">
      <alignment vertical="center"/>
    </xf>
    <xf numFmtId="0" fontId="1" fillId="0" borderId="14" xfId="0" applyFont="1" applyBorder="1" applyAlignment="1">
      <alignment horizontal="right" vertical="center"/>
    </xf>
    <xf numFmtId="0" fontId="1" fillId="0" borderId="7" xfId="0" applyNumberFormat="1" applyFont="1" applyBorder="1">
      <alignment vertical="center"/>
    </xf>
    <xf numFmtId="0" fontId="8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86" fontId="6" fillId="0" borderId="2" xfId="0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3"/>
  <sheetViews>
    <sheetView tabSelected="1" workbookViewId="0">
      <selection sqref="A1:E1"/>
    </sheetView>
  </sheetViews>
  <sheetFormatPr defaultRowHeight="16.5" x14ac:dyDescent="0.25"/>
  <cols>
    <col min="1" max="1" width="9.875" style="1" customWidth="1"/>
    <col min="2" max="4" width="12.625" style="1" customWidth="1"/>
    <col min="5" max="5" width="16.25" style="1" customWidth="1"/>
    <col min="6" max="6" width="7.875" style="1" customWidth="1"/>
    <col min="7" max="7" width="7.125" style="1" customWidth="1"/>
    <col min="8" max="8" width="16.625" style="1" customWidth="1"/>
    <col min="9" max="9" width="12.25" style="1" customWidth="1"/>
    <col min="10" max="10" width="5.125" style="1" customWidth="1"/>
    <col min="11" max="16384" width="9" style="1"/>
  </cols>
  <sheetData>
    <row r="1" spans="1:12" ht="19.5" x14ac:dyDescent="0.25">
      <c r="A1" s="36" t="s">
        <v>20</v>
      </c>
      <c r="B1" s="37"/>
      <c r="C1" s="37"/>
      <c r="D1" s="37"/>
      <c r="E1" s="37"/>
    </row>
    <row r="2" spans="1:12" x14ac:dyDescent="0.25">
      <c r="D2" s="2"/>
      <c r="G2" s="3" t="s">
        <v>0</v>
      </c>
      <c r="H2" s="3" t="s">
        <v>2</v>
      </c>
      <c r="I2" s="3" t="s">
        <v>1</v>
      </c>
      <c r="K2" s="3" t="s">
        <v>11</v>
      </c>
      <c r="L2" s="3" t="s">
        <v>10</v>
      </c>
    </row>
    <row r="3" spans="1:12" x14ac:dyDescent="0.25">
      <c r="A3" s="38" t="s">
        <v>23</v>
      </c>
      <c r="B3" s="38"/>
      <c r="C3" s="5" t="s">
        <v>21</v>
      </c>
      <c r="D3" s="10" t="s">
        <v>22</v>
      </c>
      <c r="E3" s="11">
        <f>DATE(2009,8,28)</f>
        <v>40053</v>
      </c>
      <c r="G3" s="1">
        <v>1001</v>
      </c>
      <c r="H3" s="1" t="s">
        <v>3</v>
      </c>
      <c r="I3" s="4">
        <v>40000</v>
      </c>
      <c r="K3" s="1" t="s">
        <v>12</v>
      </c>
      <c r="L3" s="1" t="s">
        <v>16</v>
      </c>
    </row>
    <row r="4" spans="1:12" x14ac:dyDescent="0.25">
      <c r="A4" s="5"/>
      <c r="B4" s="9"/>
      <c r="C4" s="9"/>
      <c r="D4" s="5"/>
      <c r="E4" s="5"/>
      <c r="G4" s="1">
        <v>1002</v>
      </c>
      <c r="H4" s="1" t="s">
        <v>4</v>
      </c>
      <c r="I4" s="4">
        <v>95000</v>
      </c>
      <c r="K4" s="1" t="s">
        <v>13</v>
      </c>
      <c r="L4" s="1" t="s">
        <v>17</v>
      </c>
    </row>
    <row r="5" spans="1:12" x14ac:dyDescent="0.25">
      <c r="A5" s="5"/>
      <c r="B5" s="5"/>
      <c r="C5" s="5"/>
      <c r="D5" s="5"/>
      <c r="E5" s="5"/>
      <c r="G5" s="1">
        <v>1003</v>
      </c>
      <c r="H5" s="1" t="s">
        <v>5</v>
      </c>
      <c r="I5" s="4">
        <v>18000</v>
      </c>
      <c r="K5" s="1" t="s">
        <v>14</v>
      </c>
      <c r="L5" s="1" t="s">
        <v>18</v>
      </c>
    </row>
    <row r="6" spans="1:12" x14ac:dyDescent="0.25">
      <c r="A6" s="5"/>
      <c r="B6" s="12"/>
      <c r="C6" s="12"/>
      <c r="D6" s="12"/>
      <c r="E6" s="5" t="s">
        <v>24</v>
      </c>
      <c r="G6" s="1">
        <v>1004</v>
      </c>
      <c r="H6" s="1" t="s">
        <v>6</v>
      </c>
      <c r="I6" s="4">
        <v>12000</v>
      </c>
      <c r="K6" s="1" t="s">
        <v>15</v>
      </c>
      <c r="L6" s="1" t="s">
        <v>19</v>
      </c>
    </row>
    <row r="7" spans="1:12" x14ac:dyDescent="0.25">
      <c r="A7" s="5"/>
      <c r="B7" s="5"/>
      <c r="C7" s="6"/>
      <c r="D7" s="7"/>
      <c r="E7" s="13" t="s">
        <v>25</v>
      </c>
      <c r="G7" s="1">
        <v>1005</v>
      </c>
      <c r="H7" s="1" t="s">
        <v>7</v>
      </c>
      <c r="I7" s="4">
        <v>6500</v>
      </c>
    </row>
    <row r="8" spans="1:12" x14ac:dyDescent="0.25">
      <c r="A8" s="5"/>
      <c r="B8" s="5"/>
      <c r="C8" s="6"/>
      <c r="D8" s="39" t="s">
        <v>26</v>
      </c>
      <c r="E8" s="40"/>
      <c r="G8" s="1">
        <v>1006</v>
      </c>
      <c r="H8" s="1" t="s">
        <v>8</v>
      </c>
      <c r="I8" s="4">
        <v>6500</v>
      </c>
    </row>
    <row r="9" spans="1:12" x14ac:dyDescent="0.25">
      <c r="A9" s="5"/>
      <c r="B9" s="5"/>
      <c r="C9" s="6"/>
      <c r="D9" s="7"/>
      <c r="E9" s="5" t="s">
        <v>27</v>
      </c>
      <c r="G9" s="1">
        <v>1007</v>
      </c>
      <c r="H9" s="1" t="s">
        <v>9</v>
      </c>
      <c r="I9" s="4">
        <v>28000</v>
      </c>
    </row>
    <row r="10" spans="1:12" ht="25.5" customHeight="1" thickBot="1" x14ac:dyDescent="0.3">
      <c r="A10" s="5"/>
      <c r="B10" s="14" t="s">
        <v>28</v>
      </c>
      <c r="C10" s="41">
        <f>SUM(I3:I9)</f>
        <v>206000</v>
      </c>
      <c r="D10" s="41"/>
      <c r="E10" s="5"/>
    </row>
    <row r="11" spans="1:12" ht="17.25" thickBot="1" x14ac:dyDescent="0.3">
      <c r="A11" s="5"/>
      <c r="B11" s="5"/>
      <c r="C11" s="6"/>
      <c r="D11" s="7"/>
      <c r="E11" s="5"/>
    </row>
    <row r="12" spans="1:12" s="20" customFormat="1" x14ac:dyDescent="0.25">
      <c r="A12" s="15" t="s">
        <v>29</v>
      </c>
      <c r="B12" s="16" t="s">
        <v>30</v>
      </c>
      <c r="C12" s="17" t="s">
        <v>31</v>
      </c>
      <c r="D12" s="18" t="s">
        <v>32</v>
      </c>
      <c r="E12" s="19" t="s">
        <v>33</v>
      </c>
    </row>
    <row r="13" spans="1:12" s="20" customFormat="1" x14ac:dyDescent="0.25">
      <c r="A13" s="21">
        <v>1001</v>
      </c>
      <c r="B13" s="22" t="s">
        <v>37</v>
      </c>
      <c r="C13" s="23">
        <v>40000</v>
      </c>
      <c r="D13" s="35">
        <v>1</v>
      </c>
      <c r="E13" s="25">
        <f>C13*D13</f>
        <v>40000</v>
      </c>
    </row>
    <row r="14" spans="1:12" s="20" customFormat="1" x14ac:dyDescent="0.25">
      <c r="A14" s="21">
        <v>1002</v>
      </c>
      <c r="B14" s="22" t="s">
        <v>38</v>
      </c>
      <c r="C14" s="23">
        <v>95000</v>
      </c>
      <c r="D14" s="35">
        <v>1</v>
      </c>
      <c r="E14" s="25">
        <f t="shared" ref="E14:E19" si="0">C14*D14</f>
        <v>95000</v>
      </c>
    </row>
    <row r="15" spans="1:12" s="20" customFormat="1" x14ac:dyDescent="0.25">
      <c r="A15" s="21">
        <v>1003</v>
      </c>
      <c r="B15" s="22" t="s">
        <v>39</v>
      </c>
      <c r="C15" s="23">
        <v>18000</v>
      </c>
      <c r="D15" s="35">
        <v>1</v>
      </c>
      <c r="E15" s="25">
        <f t="shared" si="0"/>
        <v>18000</v>
      </c>
    </row>
    <row r="16" spans="1:12" s="20" customFormat="1" x14ac:dyDescent="0.25">
      <c r="A16" s="21">
        <v>1004</v>
      </c>
      <c r="B16" s="22" t="s">
        <v>40</v>
      </c>
      <c r="C16" s="23">
        <v>12000</v>
      </c>
      <c r="D16" s="35">
        <v>1</v>
      </c>
      <c r="E16" s="25">
        <f t="shared" si="0"/>
        <v>12000</v>
      </c>
    </row>
    <row r="17" spans="1:5" s="20" customFormat="1" x14ac:dyDescent="0.25">
      <c r="A17" s="21">
        <v>1005</v>
      </c>
      <c r="B17" s="22" t="s">
        <v>41</v>
      </c>
      <c r="C17" s="23">
        <v>6500</v>
      </c>
      <c r="D17" s="35">
        <v>1</v>
      </c>
      <c r="E17" s="25">
        <f t="shared" si="0"/>
        <v>6500</v>
      </c>
    </row>
    <row r="18" spans="1:5" s="20" customFormat="1" x14ac:dyDescent="0.25">
      <c r="A18" s="21">
        <v>1006</v>
      </c>
      <c r="B18" s="22" t="s">
        <v>42</v>
      </c>
      <c r="C18" s="24">
        <v>6500</v>
      </c>
      <c r="D18" s="35">
        <v>1</v>
      </c>
      <c r="E18" s="25">
        <f t="shared" si="0"/>
        <v>6500</v>
      </c>
    </row>
    <row r="19" spans="1:5" s="20" customFormat="1" x14ac:dyDescent="0.25">
      <c r="A19" s="21">
        <v>1007</v>
      </c>
      <c r="B19" s="22" t="s">
        <v>43</v>
      </c>
      <c r="C19" s="24">
        <v>28000</v>
      </c>
      <c r="D19" s="35">
        <v>1</v>
      </c>
      <c r="E19" s="25">
        <f t="shared" si="0"/>
        <v>28000</v>
      </c>
    </row>
    <row r="20" spans="1:5" s="20" customFormat="1" ht="17.25" thickBot="1" x14ac:dyDescent="0.3">
      <c r="A20" s="26"/>
      <c r="B20" s="27"/>
      <c r="C20" s="28"/>
      <c r="D20" s="35"/>
      <c r="E20" s="29"/>
    </row>
    <row r="21" spans="1:5" s="20" customFormat="1" x14ac:dyDescent="0.25">
      <c r="D21" s="30" t="s">
        <v>34</v>
      </c>
      <c r="E21" s="31">
        <f>SUM(E13:E20)</f>
        <v>206000</v>
      </c>
    </row>
    <row r="22" spans="1:5" s="20" customFormat="1" ht="17.25" thickBot="1" x14ac:dyDescent="0.3">
      <c r="D22" s="32" t="s">
        <v>35</v>
      </c>
      <c r="E22" s="33">
        <v>0</v>
      </c>
    </row>
    <row r="23" spans="1:5" s="20" customFormat="1" ht="18" thickTop="1" thickBot="1" x14ac:dyDescent="0.3">
      <c r="D23" s="34" t="s">
        <v>36</v>
      </c>
      <c r="E23" s="31">
        <f>SUM(E13:E20)</f>
        <v>206000</v>
      </c>
    </row>
  </sheetData>
  <mergeCells count="4">
    <mergeCell ref="A1:E1"/>
    <mergeCell ref="A3:B3"/>
    <mergeCell ref="D8:E8"/>
    <mergeCell ref="C10:D10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8"/>
  <sheetViews>
    <sheetView workbookViewId="0">
      <selection sqref="A1:E1"/>
    </sheetView>
  </sheetViews>
  <sheetFormatPr defaultRowHeight="16.5" x14ac:dyDescent="0.25"/>
  <cols>
    <col min="1" max="1" width="9.875" style="1" customWidth="1"/>
    <col min="2" max="4" width="12.625" style="1" customWidth="1"/>
    <col min="5" max="5" width="16.25" style="1" customWidth="1"/>
    <col min="6" max="6" width="7.875" style="1" customWidth="1"/>
    <col min="7" max="7" width="7.125" style="1" customWidth="1"/>
    <col min="8" max="8" width="16.625" style="1" customWidth="1"/>
    <col min="9" max="9" width="12.25" style="1" customWidth="1"/>
    <col min="10" max="10" width="5.125" style="1" customWidth="1"/>
    <col min="11" max="16384" width="9" style="1"/>
  </cols>
  <sheetData>
    <row r="1" spans="1:12" ht="19.5" x14ac:dyDescent="0.25">
      <c r="A1" s="36" t="s">
        <v>20</v>
      </c>
      <c r="B1" s="37"/>
      <c r="C1" s="37"/>
      <c r="D1" s="37"/>
      <c r="E1" s="37"/>
    </row>
    <row r="2" spans="1:12" x14ac:dyDescent="0.25">
      <c r="D2" s="2"/>
      <c r="G2" s="3" t="s">
        <v>0</v>
      </c>
      <c r="H2" s="3" t="s">
        <v>2</v>
      </c>
      <c r="I2" s="3" t="s">
        <v>1</v>
      </c>
      <c r="K2" s="3" t="s">
        <v>11</v>
      </c>
      <c r="L2" s="3" t="s">
        <v>10</v>
      </c>
    </row>
    <row r="3" spans="1:12" x14ac:dyDescent="0.25">
      <c r="A3" s="38" t="s">
        <v>23</v>
      </c>
      <c r="B3" s="38"/>
      <c r="C3" s="5" t="s">
        <v>21</v>
      </c>
      <c r="D3" s="10" t="s">
        <v>22</v>
      </c>
      <c r="E3" s="11">
        <f>DATE(2009,8,28)</f>
        <v>40053</v>
      </c>
      <c r="G3" s="1">
        <v>1001</v>
      </c>
      <c r="H3" s="1" t="s">
        <v>3</v>
      </c>
      <c r="I3" s="4">
        <v>40000</v>
      </c>
      <c r="K3" s="1" t="s">
        <v>12</v>
      </c>
      <c r="L3" s="1" t="s">
        <v>16</v>
      </c>
    </row>
    <row r="4" spans="1:12" x14ac:dyDescent="0.25">
      <c r="A4" s="5"/>
      <c r="B4" s="9"/>
      <c r="C4" s="9"/>
      <c r="D4" s="5"/>
      <c r="E4" s="5"/>
      <c r="G4" s="1">
        <v>1002</v>
      </c>
      <c r="H4" s="1" t="s">
        <v>4</v>
      </c>
      <c r="I4" s="4">
        <v>95000</v>
      </c>
      <c r="K4" s="1" t="s">
        <v>13</v>
      </c>
      <c r="L4" s="1" t="s">
        <v>17</v>
      </c>
    </row>
    <row r="5" spans="1:12" x14ac:dyDescent="0.25">
      <c r="A5" s="5"/>
      <c r="B5" s="5"/>
      <c r="C5" s="5"/>
      <c r="D5" s="5"/>
      <c r="E5" s="5"/>
      <c r="G5" s="1">
        <v>1003</v>
      </c>
      <c r="H5" s="1" t="s">
        <v>5</v>
      </c>
      <c r="I5" s="4">
        <v>18000</v>
      </c>
      <c r="K5" s="1" t="s">
        <v>14</v>
      </c>
      <c r="L5" s="1" t="s">
        <v>18</v>
      </c>
    </row>
    <row r="6" spans="1:12" x14ac:dyDescent="0.25">
      <c r="A6" s="5"/>
      <c r="B6" s="12"/>
      <c r="C6" s="12"/>
      <c r="D6" s="12"/>
      <c r="E6" s="5" t="s">
        <v>24</v>
      </c>
      <c r="G6" s="1">
        <v>1004</v>
      </c>
      <c r="H6" s="1" t="s">
        <v>6</v>
      </c>
      <c r="I6" s="4">
        <v>12000</v>
      </c>
      <c r="K6" s="1" t="s">
        <v>15</v>
      </c>
      <c r="L6" s="1" t="s">
        <v>19</v>
      </c>
    </row>
    <row r="7" spans="1:12" x14ac:dyDescent="0.25">
      <c r="A7" s="5"/>
      <c r="B7" s="5"/>
      <c r="C7" s="6"/>
      <c r="D7" s="7"/>
      <c r="E7" s="13" t="s">
        <v>25</v>
      </c>
      <c r="G7" s="1">
        <v>1005</v>
      </c>
      <c r="H7" s="1" t="s">
        <v>7</v>
      </c>
      <c r="I7" s="4">
        <v>6500</v>
      </c>
    </row>
    <row r="8" spans="1:12" x14ac:dyDescent="0.25">
      <c r="A8" s="5"/>
      <c r="B8" s="5"/>
      <c r="C8" s="6"/>
      <c r="D8" s="39" t="s">
        <v>26</v>
      </c>
      <c r="E8" s="40"/>
      <c r="G8" s="1">
        <v>1006</v>
      </c>
      <c r="H8" s="1" t="s">
        <v>8</v>
      </c>
      <c r="I8" s="4">
        <v>6500</v>
      </c>
    </row>
    <row r="9" spans="1:12" x14ac:dyDescent="0.25">
      <c r="A9" s="5"/>
      <c r="B9" s="5"/>
      <c r="C9" s="6"/>
      <c r="D9" s="7"/>
      <c r="E9" s="5" t="s">
        <v>27</v>
      </c>
      <c r="G9" s="1">
        <v>1007</v>
      </c>
      <c r="H9" s="1" t="s">
        <v>9</v>
      </c>
      <c r="I9" s="4">
        <v>28000</v>
      </c>
    </row>
    <row r="10" spans="1:12" ht="25.5" customHeight="1" thickBot="1" x14ac:dyDescent="0.3">
      <c r="A10" s="5"/>
      <c r="B10" s="14" t="s">
        <v>28</v>
      </c>
      <c r="C10" s="41">
        <f>SUM(I4:I9)</f>
        <v>166000</v>
      </c>
      <c r="D10" s="41"/>
      <c r="E10" s="5"/>
    </row>
    <row r="11" spans="1:12" x14ac:dyDescent="0.25">
      <c r="A11" s="5"/>
      <c r="B11" s="5"/>
      <c r="C11" s="6"/>
      <c r="D11" s="7"/>
      <c r="E11" s="5"/>
    </row>
    <row r="12" spans="1:12" x14ac:dyDescent="0.25">
      <c r="A12" s="5"/>
      <c r="B12" s="5"/>
      <c r="C12" s="6"/>
      <c r="D12" s="7"/>
      <c r="E12" s="5"/>
    </row>
    <row r="13" spans="1:12" x14ac:dyDescent="0.25">
      <c r="A13" s="5"/>
      <c r="B13" s="5"/>
      <c r="C13" s="6"/>
      <c r="D13" s="7"/>
      <c r="E13" s="5"/>
    </row>
    <row r="14" spans="1:12" x14ac:dyDescent="0.25">
      <c r="A14" s="5"/>
      <c r="B14" s="5"/>
      <c r="C14" s="6"/>
      <c r="D14" s="7"/>
      <c r="E14" s="5"/>
    </row>
    <row r="15" spans="1:12" x14ac:dyDescent="0.25">
      <c r="A15" s="5"/>
      <c r="B15" s="5"/>
      <c r="C15" s="6"/>
      <c r="D15" s="7"/>
      <c r="E15" s="5"/>
    </row>
    <row r="16" spans="1:12" x14ac:dyDescent="0.25">
      <c r="A16" s="5"/>
      <c r="B16" s="5"/>
      <c r="C16" s="8"/>
      <c r="D16" s="7"/>
      <c r="E16" s="5"/>
    </row>
    <row r="17" spans="1:5" x14ac:dyDescent="0.25">
      <c r="A17" s="5"/>
      <c r="B17" s="42"/>
      <c r="C17" s="42"/>
      <c r="D17" s="7"/>
      <c r="E17" s="5"/>
    </row>
    <row r="18" spans="1:5" x14ac:dyDescent="0.25">
      <c r="A18" s="5"/>
      <c r="B18" s="5"/>
      <c r="C18" s="5"/>
      <c r="D18" s="5"/>
      <c r="E18" s="5"/>
    </row>
  </sheetData>
  <mergeCells count="5">
    <mergeCell ref="B17:C17"/>
    <mergeCell ref="A1:E1"/>
    <mergeCell ref="A3:B3"/>
    <mergeCell ref="D8:E8"/>
    <mergeCell ref="C10:D10"/>
  </mergeCells>
  <phoneticPr fontId="4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25"/>
  <sheetData/>
  <phoneticPr fontId="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商品買家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2009-08-21T04:47:54Z</dcterms:created>
  <dcterms:modified xsi:type="dcterms:W3CDTF">2021-03-26T15:33:32Z</dcterms:modified>
</cp:coreProperties>
</file>