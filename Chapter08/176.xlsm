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2D487DD4-200D-430A-88C1-9B8823549FB6}" xr6:coauthVersionLast="46" xr6:coauthVersionMax="46" xr10:uidLastSave="{00000000-0000-0000-0000-000000000000}"/>
  <bookViews>
    <workbookView xWindow="2730" yWindow="2730" windowWidth="15435" windowHeight="12810" tabRatio="398"/>
  </bookViews>
  <sheets>
    <sheet name="3教科" sheetId="7" r:id="rId1"/>
    <sheet name="國語測試" sheetId="6" r:id="rId2"/>
    <sheet name="數學測試" sheetId="8" r:id="rId3"/>
    <sheet name="英語測試" sheetId="9" r:id="rId4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9" l="1"/>
  <c r="C14" i="9"/>
  <c r="E13" i="9"/>
  <c r="E12" i="9"/>
  <c r="E11" i="9"/>
  <c r="E10" i="9"/>
  <c r="E9" i="9"/>
  <c r="E8" i="9"/>
  <c r="E7" i="9"/>
  <c r="E6" i="9"/>
  <c r="E5" i="9"/>
  <c r="E4" i="9"/>
  <c r="E14" i="9" s="1"/>
  <c r="E14" i="8"/>
  <c r="D14" i="8"/>
  <c r="C14" i="8"/>
  <c r="F13" i="8"/>
  <c r="F12" i="8"/>
  <c r="F11" i="8"/>
  <c r="F10" i="8"/>
  <c r="F9" i="8"/>
  <c r="F8" i="8"/>
  <c r="F7" i="8"/>
  <c r="F6" i="8"/>
  <c r="F5" i="8"/>
  <c r="F4" i="8"/>
  <c r="F14" i="8" s="1"/>
  <c r="D14" i="6"/>
  <c r="C14" i="6"/>
  <c r="E13" i="6"/>
  <c r="E12" i="6"/>
  <c r="E11" i="6"/>
  <c r="E10" i="6"/>
  <c r="E9" i="6"/>
  <c r="E8" i="6"/>
  <c r="E7" i="6"/>
  <c r="E6" i="6"/>
  <c r="E5" i="6"/>
  <c r="E4" i="6"/>
  <c r="E14" i="6" s="1"/>
  <c r="E46" i="7"/>
  <c r="D46" i="7"/>
  <c r="C46" i="7"/>
  <c r="F45" i="7"/>
  <c r="F44" i="7"/>
  <c r="F43" i="7"/>
  <c r="F42" i="7"/>
  <c r="F41" i="7"/>
  <c r="F40" i="7"/>
  <c r="F39" i="7"/>
  <c r="F38" i="7"/>
  <c r="F37" i="7"/>
  <c r="F36" i="7"/>
  <c r="F4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 s="1"/>
  <c r="D14" i="7"/>
  <c r="C14" i="7"/>
  <c r="E13" i="7"/>
  <c r="E12" i="7"/>
  <c r="E11" i="7"/>
  <c r="E10" i="7"/>
  <c r="E9" i="7"/>
  <c r="E8" i="7"/>
  <c r="E7" i="7"/>
  <c r="E6" i="7"/>
  <c r="E5" i="7"/>
  <c r="E14" i="7" s="1"/>
  <c r="E4" i="7"/>
</calcChain>
</file>

<file path=xl/sharedStrings.xml><?xml version="1.0" encoding="utf-8"?>
<sst xmlns="http://schemas.openxmlformats.org/spreadsheetml/2006/main" count="170" uniqueCount="29">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</sst>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72539885393906"/>
          <c:y val="6.0421875836948954E-2"/>
          <c:w val="0.628934724226757"/>
          <c:h val="0.655025550377631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國語測試!$C$3</c:f>
              <c:strCache>
                <c:ptCount val="1"/>
                <c:pt idx="0">
                  <c:v>現代國語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1-4F20-9366-5B967D253037}"/>
            </c:ext>
          </c:extLst>
        </c:ser>
        <c:ser>
          <c:idx val="1"/>
          <c:order val="1"/>
          <c:tx>
            <c:strRef>
              <c:f>國語測試!$D$3</c:f>
              <c:strCache>
                <c:ptCount val="1"/>
                <c:pt idx="0">
                  <c:v>古文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61-4F20-9366-5B967D253037}"/>
            </c:ext>
          </c:extLst>
        </c:ser>
        <c:ser>
          <c:idx val="2"/>
          <c:order val="2"/>
          <c:tx>
            <c:strRef>
              <c:f>國語測試!$E$3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61-4F20-9366-5B967D253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702735"/>
        <c:axId val="1"/>
      </c:barChart>
      <c:catAx>
        <c:axId val="101870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702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General</c:formatCode>
                <c:ptCount val="10"/>
                <c:pt idx="0">
                  <c:v>66</c:v>
                </c:pt>
                <c:pt idx="1">
                  <c:v>80</c:v>
                </c:pt>
                <c:pt idx="2">
                  <c:v>92</c:v>
                </c:pt>
                <c:pt idx="3">
                  <c:v>100</c:v>
                </c:pt>
                <c:pt idx="4">
                  <c:v>55</c:v>
                </c:pt>
                <c:pt idx="5">
                  <c:v>63</c:v>
                </c:pt>
                <c:pt idx="6">
                  <c:v>41</c:v>
                </c:pt>
                <c:pt idx="7">
                  <c:v>51</c:v>
                </c:pt>
                <c:pt idx="8">
                  <c:v>69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6-45FC-B57F-D921C0DADB32}"/>
            </c:ext>
          </c:extLst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General</c:formatCode>
                <c:ptCount val="10"/>
                <c:pt idx="0">
                  <c:v>78</c:v>
                </c:pt>
                <c:pt idx="1">
                  <c:v>69</c:v>
                </c:pt>
                <c:pt idx="2">
                  <c:v>96</c:v>
                </c:pt>
                <c:pt idx="3">
                  <c:v>89</c:v>
                </c:pt>
                <c:pt idx="4">
                  <c:v>77</c:v>
                </c:pt>
                <c:pt idx="5">
                  <c:v>48</c:v>
                </c:pt>
                <c:pt idx="6">
                  <c:v>45</c:v>
                </c:pt>
                <c:pt idx="7">
                  <c:v>72</c:v>
                </c:pt>
                <c:pt idx="8">
                  <c:v>75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6-45FC-B57F-D921C0DADB32}"/>
            </c:ext>
          </c:extLst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圖型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General</c:formatCode>
                <c:ptCount val="10"/>
                <c:pt idx="0">
                  <c:v>64</c:v>
                </c:pt>
                <c:pt idx="1">
                  <c:v>71</c:v>
                </c:pt>
                <c:pt idx="2">
                  <c:v>80</c:v>
                </c:pt>
                <c:pt idx="3">
                  <c:v>88</c:v>
                </c:pt>
                <c:pt idx="4">
                  <c:v>40</c:v>
                </c:pt>
                <c:pt idx="5">
                  <c:v>41</c:v>
                </c:pt>
                <c:pt idx="6">
                  <c:v>51</c:v>
                </c:pt>
                <c:pt idx="7">
                  <c:v>63</c:v>
                </c:pt>
                <c:pt idx="8">
                  <c:v>74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6-45FC-B57F-D921C0DADB32}"/>
            </c:ext>
          </c:extLst>
        </c:ser>
        <c:ser>
          <c:idx val="3"/>
          <c:order val="3"/>
          <c:tx>
            <c:strRef>
              <c:f>數學測試!$F$3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數學測試!$F$4:$F$13</c:f>
              <c:numCache>
                <c:formatCode>General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268</c:v>
                </c:pt>
                <c:pt idx="3">
                  <c:v>277</c:v>
                </c:pt>
                <c:pt idx="4">
                  <c:v>172</c:v>
                </c:pt>
                <c:pt idx="5">
                  <c:v>152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6-45FC-B57F-D921C0DA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711055"/>
        <c:axId val="1"/>
      </c:barChart>
      <c:catAx>
        <c:axId val="1018711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7110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英語測試!$C$3</c:f>
              <c:strCache>
                <c:ptCount val="1"/>
                <c:pt idx="0">
                  <c:v>聽力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44-4495-A4C6-F245CFB91C09}"/>
            </c:ext>
          </c:extLst>
        </c:ser>
        <c:ser>
          <c:idx val="1"/>
          <c:order val="1"/>
          <c:tx>
            <c:strRef>
              <c:f>英語測試!$D$3</c:f>
              <c:strCache>
                <c:ptCount val="1"/>
                <c:pt idx="0">
                  <c:v>讀解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44-4495-A4C6-F245CFB91C09}"/>
            </c:ext>
          </c:extLst>
        </c:ser>
        <c:ser>
          <c:idx val="2"/>
          <c:order val="2"/>
          <c:tx>
            <c:strRef>
              <c:f>英語測試!$E$3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44-4495-A4C6-F245CFB9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77775"/>
        <c:axId val="1"/>
      </c:barChart>
      <c:catAx>
        <c:axId val="1018677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6777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15</xdr:row>
      <xdr:rowOff>161925</xdr:rowOff>
    </xdr:from>
    <xdr:to>
      <xdr:col>5</xdr:col>
      <xdr:colOff>571500</xdr:colOff>
      <xdr:row>26</xdr:row>
      <xdr:rowOff>190500</xdr:rowOff>
    </xdr:to>
    <xdr:graphicFrame macro="">
      <xdr:nvGraphicFramePr>
        <xdr:cNvPr id="3083" name="圖表 2">
          <a:extLst>
            <a:ext uri="{FF2B5EF4-FFF2-40B4-BE49-F238E27FC236}">
              <a16:creationId xmlns:a16="http://schemas.microsoft.com/office/drawing/2014/main" id="{6FC0B781-4C98-4D8F-931E-CF5BEAB92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15</xdr:row>
      <xdr:rowOff>114300</xdr:rowOff>
    </xdr:from>
    <xdr:to>
      <xdr:col>5</xdr:col>
      <xdr:colOff>609600</xdr:colOff>
      <xdr:row>26</xdr:row>
      <xdr:rowOff>190500</xdr:rowOff>
    </xdr:to>
    <xdr:graphicFrame macro="">
      <xdr:nvGraphicFramePr>
        <xdr:cNvPr id="6154" name="圖表 2">
          <a:extLst>
            <a:ext uri="{FF2B5EF4-FFF2-40B4-BE49-F238E27FC236}">
              <a16:creationId xmlns:a16="http://schemas.microsoft.com/office/drawing/2014/main" id="{8B754C5E-E50D-474E-880A-1A7A22DC9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15</xdr:row>
      <xdr:rowOff>161925</xdr:rowOff>
    </xdr:from>
    <xdr:to>
      <xdr:col>5</xdr:col>
      <xdr:colOff>323850</xdr:colOff>
      <xdr:row>25</xdr:row>
      <xdr:rowOff>123825</xdr:rowOff>
    </xdr:to>
    <xdr:graphicFrame macro="">
      <xdr:nvGraphicFramePr>
        <xdr:cNvPr id="2055" name="圖表 2">
          <a:extLst>
            <a:ext uri="{FF2B5EF4-FFF2-40B4-BE49-F238E27FC236}">
              <a16:creationId xmlns:a16="http://schemas.microsoft.com/office/drawing/2014/main" id="{4095EA2C-0DCF-430D-81C6-A6E18EF6A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topLeftCell="A7" zoomScaleNormal="100" workbookViewId="0"/>
  </sheetViews>
  <sheetFormatPr defaultRowHeight="16.5" x14ac:dyDescent="0.25"/>
  <cols>
    <col min="1" max="1" width="9" style="2"/>
    <col min="2" max="2" width="11" style="2" customWidth="1"/>
    <col min="3" max="3" width="10" style="2" customWidth="1"/>
    <col min="4" max="16384" width="9" style="2"/>
  </cols>
  <sheetData>
    <row r="1" spans="1:6" x14ac:dyDescent="0.25">
      <c r="A1" s="2" t="s">
        <v>0</v>
      </c>
    </row>
    <row r="3" spans="1:6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  <row r="17" spans="1:6" x14ac:dyDescent="0.25">
      <c r="A17" s="2" t="s">
        <v>22</v>
      </c>
    </row>
    <row r="19" spans="1:6" x14ac:dyDescent="0.25">
      <c r="A19" s="7" t="s">
        <v>1</v>
      </c>
      <c r="B19" s="7" t="s">
        <v>2</v>
      </c>
      <c r="C19" s="7" t="s">
        <v>23</v>
      </c>
      <c r="D19" s="7" t="s">
        <v>24</v>
      </c>
      <c r="E19" s="7" t="s">
        <v>5</v>
      </c>
      <c r="F19" s="7" t="s">
        <v>6</v>
      </c>
    </row>
    <row r="20" spans="1:6" x14ac:dyDescent="0.25">
      <c r="A20" s="4">
        <v>1</v>
      </c>
      <c r="B20" s="5" t="s">
        <v>7</v>
      </c>
      <c r="C20" s="4">
        <v>96</v>
      </c>
      <c r="D20" s="4">
        <v>88</v>
      </c>
      <c r="E20" s="4">
        <f>SUM(C20:D20)</f>
        <v>184</v>
      </c>
      <c r="F20" s="6" t="s">
        <v>8</v>
      </c>
    </row>
    <row r="21" spans="1:6" x14ac:dyDescent="0.25">
      <c r="A21" s="4">
        <v>2</v>
      </c>
      <c r="B21" s="5" t="s">
        <v>9</v>
      </c>
      <c r="C21" s="4">
        <v>88</v>
      </c>
      <c r="D21" s="4">
        <v>42</v>
      </c>
      <c r="E21" s="4">
        <f t="shared" ref="E21:E29" si="1">SUM(C21:D21)</f>
        <v>130</v>
      </c>
      <c r="F21" s="6" t="s">
        <v>10</v>
      </c>
    </row>
    <row r="22" spans="1:6" x14ac:dyDescent="0.25">
      <c r="A22" s="4">
        <v>3</v>
      </c>
      <c r="B22" s="5" t="s">
        <v>11</v>
      </c>
      <c r="C22" s="4">
        <v>23</v>
      </c>
      <c r="D22" s="4">
        <v>45</v>
      </c>
      <c r="E22" s="4">
        <f t="shared" si="1"/>
        <v>68</v>
      </c>
      <c r="F22" s="6" t="s">
        <v>12</v>
      </c>
    </row>
    <row r="23" spans="1:6" x14ac:dyDescent="0.25">
      <c r="A23" s="4">
        <v>4</v>
      </c>
      <c r="B23" s="5" t="s">
        <v>13</v>
      </c>
      <c r="C23" s="4">
        <v>91</v>
      </c>
      <c r="D23" s="4">
        <v>58</v>
      </c>
      <c r="E23" s="4">
        <f t="shared" si="1"/>
        <v>149</v>
      </c>
      <c r="F23" s="6" t="s">
        <v>14</v>
      </c>
    </row>
    <row r="24" spans="1:6" x14ac:dyDescent="0.25">
      <c r="A24" s="4">
        <v>5</v>
      </c>
      <c r="B24" s="5" t="s">
        <v>15</v>
      </c>
      <c r="C24" s="4">
        <v>63</v>
      </c>
      <c r="D24" s="4">
        <v>93</v>
      </c>
      <c r="E24" s="4">
        <f t="shared" si="1"/>
        <v>156</v>
      </c>
      <c r="F24" s="6" t="s">
        <v>14</v>
      </c>
    </row>
    <row r="25" spans="1:6" x14ac:dyDescent="0.25">
      <c r="A25" s="4">
        <v>6</v>
      </c>
      <c r="B25" s="5" t="s">
        <v>16</v>
      </c>
      <c r="C25" s="4">
        <v>57</v>
      </c>
      <c r="D25" s="4">
        <v>47</v>
      </c>
      <c r="E25" s="4">
        <f t="shared" si="1"/>
        <v>104</v>
      </c>
      <c r="F25" s="6" t="s">
        <v>12</v>
      </c>
    </row>
    <row r="26" spans="1:6" x14ac:dyDescent="0.25">
      <c r="A26" s="4">
        <v>7</v>
      </c>
      <c r="B26" s="5" t="s">
        <v>17</v>
      </c>
      <c r="C26" s="4">
        <v>70</v>
      </c>
      <c r="D26" s="4">
        <v>65</v>
      </c>
      <c r="E26" s="4">
        <f t="shared" si="1"/>
        <v>135</v>
      </c>
      <c r="F26" s="6" t="s">
        <v>10</v>
      </c>
    </row>
    <row r="27" spans="1:6" x14ac:dyDescent="0.25">
      <c r="A27" s="4">
        <v>8</v>
      </c>
      <c r="B27" s="5" t="s">
        <v>18</v>
      </c>
      <c r="C27" s="4">
        <v>93</v>
      </c>
      <c r="D27" s="4">
        <v>81</v>
      </c>
      <c r="E27" s="4">
        <f t="shared" si="1"/>
        <v>174</v>
      </c>
      <c r="F27" s="6" t="s">
        <v>8</v>
      </c>
    </row>
    <row r="28" spans="1:6" x14ac:dyDescent="0.25">
      <c r="A28" s="4">
        <v>9</v>
      </c>
      <c r="B28" s="5" t="s">
        <v>19</v>
      </c>
      <c r="C28" s="4">
        <v>33</v>
      </c>
      <c r="D28" s="4">
        <v>87</v>
      </c>
      <c r="E28" s="4">
        <f t="shared" si="1"/>
        <v>120</v>
      </c>
      <c r="F28" s="6" t="s">
        <v>12</v>
      </c>
    </row>
    <row r="29" spans="1:6" x14ac:dyDescent="0.25">
      <c r="A29" s="4">
        <v>10</v>
      </c>
      <c r="B29" s="4" t="s">
        <v>20</v>
      </c>
      <c r="C29" s="4">
        <v>100</v>
      </c>
      <c r="D29" s="4">
        <v>96</v>
      </c>
      <c r="E29" s="4">
        <f t="shared" si="1"/>
        <v>196</v>
      </c>
      <c r="F29" s="6" t="s">
        <v>8</v>
      </c>
    </row>
    <row r="30" spans="1:6" x14ac:dyDescent="0.25">
      <c r="A30" s="11" t="s">
        <v>21</v>
      </c>
      <c r="B30" s="11"/>
      <c r="C30" s="4">
        <f>AVERAGE(C20:C29)</f>
        <v>71.400000000000006</v>
      </c>
      <c r="D30" s="4">
        <f>AVERAGE(D20:D29)</f>
        <v>70.2</v>
      </c>
      <c r="E30" s="4">
        <f>AVERAGE(E20:E29)</f>
        <v>141.6</v>
      </c>
      <c r="F30" s="4"/>
    </row>
    <row r="33" spans="1:7" x14ac:dyDescent="0.25">
      <c r="A33" s="2" t="s">
        <v>25</v>
      </c>
      <c r="G33" s="8"/>
    </row>
    <row r="35" spans="1:7" x14ac:dyDescent="0.25">
      <c r="A35" s="9" t="s">
        <v>1</v>
      </c>
      <c r="B35" s="9" t="s">
        <v>2</v>
      </c>
      <c r="C35" s="9" t="s">
        <v>26</v>
      </c>
      <c r="D35" s="9" t="s">
        <v>27</v>
      </c>
      <c r="E35" s="9" t="s">
        <v>28</v>
      </c>
      <c r="F35" s="9" t="s">
        <v>5</v>
      </c>
      <c r="G35" s="9" t="s">
        <v>6</v>
      </c>
    </row>
    <row r="36" spans="1:7" x14ac:dyDescent="0.25">
      <c r="A36" s="4">
        <v>1</v>
      </c>
      <c r="B36" s="5" t="s">
        <v>7</v>
      </c>
      <c r="C36" s="4">
        <v>66</v>
      </c>
      <c r="D36" s="4">
        <v>78</v>
      </c>
      <c r="E36" s="4">
        <v>64</v>
      </c>
      <c r="F36" s="4">
        <f>SUM(C36:E36)</f>
        <v>208</v>
      </c>
      <c r="G36" s="6" t="s">
        <v>14</v>
      </c>
    </row>
    <row r="37" spans="1:7" x14ac:dyDescent="0.25">
      <c r="A37" s="4">
        <v>2</v>
      </c>
      <c r="B37" s="5" t="s">
        <v>9</v>
      </c>
      <c r="C37" s="4">
        <v>80</v>
      </c>
      <c r="D37" s="4">
        <v>69</v>
      </c>
      <c r="E37" s="4">
        <v>71</v>
      </c>
      <c r="F37" s="4">
        <f t="shared" ref="F37:F45" si="2">SUM(C37:E37)</f>
        <v>220</v>
      </c>
      <c r="G37" s="6" t="s">
        <v>14</v>
      </c>
    </row>
    <row r="38" spans="1:7" x14ac:dyDescent="0.25">
      <c r="A38" s="4">
        <v>3</v>
      </c>
      <c r="B38" s="5" t="s">
        <v>11</v>
      </c>
      <c r="C38" s="4">
        <v>92</v>
      </c>
      <c r="D38" s="4">
        <v>96</v>
      </c>
      <c r="E38" s="4">
        <v>80</v>
      </c>
      <c r="F38" s="4">
        <f t="shared" si="2"/>
        <v>268</v>
      </c>
      <c r="G38" s="6" t="s">
        <v>8</v>
      </c>
    </row>
    <row r="39" spans="1:7" x14ac:dyDescent="0.25">
      <c r="A39" s="4">
        <v>4</v>
      </c>
      <c r="B39" s="5" t="s">
        <v>13</v>
      </c>
      <c r="C39" s="4">
        <v>100</v>
      </c>
      <c r="D39" s="4">
        <v>89</v>
      </c>
      <c r="E39" s="4">
        <v>88</v>
      </c>
      <c r="F39" s="4">
        <f t="shared" si="2"/>
        <v>277</v>
      </c>
      <c r="G39" s="6" t="s">
        <v>8</v>
      </c>
    </row>
    <row r="40" spans="1:7" x14ac:dyDescent="0.25">
      <c r="A40" s="4">
        <v>5</v>
      </c>
      <c r="B40" s="5" t="s">
        <v>15</v>
      </c>
      <c r="C40" s="4">
        <v>55</v>
      </c>
      <c r="D40" s="4">
        <v>77</v>
      </c>
      <c r="E40" s="4">
        <v>40</v>
      </c>
      <c r="F40" s="4">
        <f t="shared" si="2"/>
        <v>172</v>
      </c>
      <c r="G40" s="6" t="s">
        <v>10</v>
      </c>
    </row>
    <row r="41" spans="1:7" x14ac:dyDescent="0.25">
      <c r="A41" s="4">
        <v>6</v>
      </c>
      <c r="B41" s="5" t="s">
        <v>16</v>
      </c>
      <c r="C41" s="4">
        <v>63</v>
      </c>
      <c r="D41" s="4">
        <v>48</v>
      </c>
      <c r="E41" s="4">
        <v>41</v>
      </c>
      <c r="F41" s="4">
        <f t="shared" si="2"/>
        <v>152</v>
      </c>
      <c r="G41" s="6" t="s">
        <v>10</v>
      </c>
    </row>
    <row r="42" spans="1:7" x14ac:dyDescent="0.25">
      <c r="A42" s="4">
        <v>7</v>
      </c>
      <c r="B42" s="5" t="s">
        <v>17</v>
      </c>
      <c r="C42" s="4">
        <v>41</v>
      </c>
      <c r="D42" s="4">
        <v>45</v>
      </c>
      <c r="E42" s="4">
        <v>51</v>
      </c>
      <c r="F42" s="4">
        <f t="shared" si="2"/>
        <v>137</v>
      </c>
      <c r="G42" s="6" t="s">
        <v>12</v>
      </c>
    </row>
    <row r="43" spans="1:7" x14ac:dyDescent="0.25">
      <c r="A43" s="4">
        <v>8</v>
      </c>
      <c r="B43" s="5" t="s">
        <v>18</v>
      </c>
      <c r="C43" s="4">
        <v>51</v>
      </c>
      <c r="D43" s="4">
        <v>72</v>
      </c>
      <c r="E43" s="4">
        <v>63</v>
      </c>
      <c r="F43" s="4">
        <f t="shared" si="2"/>
        <v>186</v>
      </c>
      <c r="G43" s="6" t="s">
        <v>10</v>
      </c>
    </row>
    <row r="44" spans="1:7" x14ac:dyDescent="0.25">
      <c r="A44" s="4">
        <v>9</v>
      </c>
      <c r="B44" s="5" t="s">
        <v>19</v>
      </c>
      <c r="C44" s="4">
        <v>69</v>
      </c>
      <c r="D44" s="4">
        <v>75</v>
      </c>
      <c r="E44" s="4">
        <v>74</v>
      </c>
      <c r="F44" s="4">
        <f t="shared" si="2"/>
        <v>218</v>
      </c>
      <c r="G44" s="6" t="s">
        <v>14</v>
      </c>
    </row>
    <row r="45" spans="1:7" x14ac:dyDescent="0.25">
      <c r="A45" s="4">
        <v>10</v>
      </c>
      <c r="B45" s="4" t="s">
        <v>20</v>
      </c>
      <c r="C45" s="4">
        <v>89</v>
      </c>
      <c r="D45" s="4">
        <v>92</v>
      </c>
      <c r="E45" s="4">
        <v>90</v>
      </c>
      <c r="F45" s="4">
        <f t="shared" si="2"/>
        <v>271</v>
      </c>
      <c r="G45" s="6" t="s">
        <v>8</v>
      </c>
    </row>
    <row r="46" spans="1:7" x14ac:dyDescent="0.25">
      <c r="A46" s="12" t="s">
        <v>21</v>
      </c>
      <c r="B46" s="12"/>
      <c r="C46" s="4">
        <f>AVERAGE(C36:C45)</f>
        <v>70.599999999999994</v>
      </c>
      <c r="D46" s="4">
        <f>AVERAGE(D36:D45)</f>
        <v>74.099999999999994</v>
      </c>
      <c r="E46" s="4">
        <f>AVERAGE(E36:E45)</f>
        <v>66.2</v>
      </c>
      <c r="F46" s="4">
        <f>AVERAGE(F36:F45)</f>
        <v>210.9</v>
      </c>
      <c r="G46" s="4"/>
    </row>
  </sheetData>
  <mergeCells count="3">
    <mergeCell ref="A14:B14"/>
    <mergeCell ref="A30:B30"/>
    <mergeCell ref="A46:B46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/>
  </sheetViews>
  <sheetFormatPr defaultRowHeight="16.5" x14ac:dyDescent="0.25"/>
  <cols>
    <col min="1" max="16384" width="9" style="1"/>
  </cols>
  <sheetData>
    <row r="1" spans="1:6" s="2" customFormat="1" x14ac:dyDescent="0.25">
      <c r="A1" s="2" t="s">
        <v>0</v>
      </c>
    </row>
    <row r="2" spans="1:6" s="2" customFormat="1" x14ac:dyDescent="0.25"/>
    <row r="3" spans="1:6" s="2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RowHeight="16.5" x14ac:dyDescent="0.25"/>
  <sheetData>
    <row r="1" spans="1:7" s="2" customFormat="1" x14ac:dyDescent="0.25">
      <c r="A1" s="2" t="s">
        <v>25</v>
      </c>
      <c r="G1" s="8"/>
    </row>
    <row r="2" spans="1:7" s="2" customFormat="1" x14ac:dyDescent="0.25"/>
    <row r="3" spans="1:7" s="2" customFormat="1" x14ac:dyDescent="0.25">
      <c r="A3" s="9" t="s">
        <v>1</v>
      </c>
      <c r="B3" s="9" t="s">
        <v>2</v>
      </c>
      <c r="C3" s="9" t="s">
        <v>26</v>
      </c>
      <c r="D3" s="9" t="s">
        <v>27</v>
      </c>
      <c r="E3" s="9" t="s">
        <v>28</v>
      </c>
      <c r="F3" s="9" t="s">
        <v>5</v>
      </c>
      <c r="G3" s="9" t="s">
        <v>6</v>
      </c>
    </row>
    <row r="4" spans="1:7" s="2" customFormat="1" x14ac:dyDescent="0.25">
      <c r="A4" s="4">
        <v>1</v>
      </c>
      <c r="B4" s="5" t="s">
        <v>7</v>
      </c>
      <c r="C4" s="4">
        <v>66</v>
      </c>
      <c r="D4" s="4">
        <v>78</v>
      </c>
      <c r="E4" s="4">
        <v>64</v>
      </c>
      <c r="F4" s="4">
        <f>SUM(C4:E4)</f>
        <v>208</v>
      </c>
      <c r="G4" s="6" t="s">
        <v>14</v>
      </c>
    </row>
    <row r="5" spans="1:7" s="2" customFormat="1" x14ac:dyDescent="0.25">
      <c r="A5" s="4">
        <v>2</v>
      </c>
      <c r="B5" s="5" t="s">
        <v>9</v>
      </c>
      <c r="C5" s="4">
        <v>80</v>
      </c>
      <c r="D5" s="4">
        <v>69</v>
      </c>
      <c r="E5" s="4">
        <v>71</v>
      </c>
      <c r="F5" s="4">
        <f t="shared" ref="F5:F13" si="0">SUM(C5:E5)</f>
        <v>220</v>
      </c>
      <c r="G5" s="6" t="s">
        <v>14</v>
      </c>
    </row>
    <row r="6" spans="1:7" s="2" customFormat="1" x14ac:dyDescent="0.25">
      <c r="A6" s="4">
        <v>3</v>
      </c>
      <c r="B6" s="5" t="s">
        <v>11</v>
      </c>
      <c r="C6" s="4">
        <v>92</v>
      </c>
      <c r="D6" s="4">
        <v>96</v>
      </c>
      <c r="E6" s="4">
        <v>80</v>
      </c>
      <c r="F6" s="4">
        <f t="shared" si="0"/>
        <v>268</v>
      </c>
      <c r="G6" s="6" t="s">
        <v>8</v>
      </c>
    </row>
    <row r="7" spans="1:7" s="2" customFormat="1" x14ac:dyDescent="0.25">
      <c r="A7" s="4">
        <v>4</v>
      </c>
      <c r="B7" s="5" t="s">
        <v>13</v>
      </c>
      <c r="C7" s="4">
        <v>100</v>
      </c>
      <c r="D7" s="4">
        <v>89</v>
      </c>
      <c r="E7" s="4">
        <v>88</v>
      </c>
      <c r="F7" s="4">
        <f t="shared" si="0"/>
        <v>277</v>
      </c>
      <c r="G7" s="6" t="s">
        <v>8</v>
      </c>
    </row>
    <row r="8" spans="1:7" s="2" customFormat="1" x14ac:dyDescent="0.25">
      <c r="A8" s="4">
        <v>5</v>
      </c>
      <c r="B8" s="5" t="s">
        <v>15</v>
      </c>
      <c r="C8" s="4">
        <v>55</v>
      </c>
      <c r="D8" s="4">
        <v>77</v>
      </c>
      <c r="E8" s="4">
        <v>40</v>
      </c>
      <c r="F8" s="4">
        <f t="shared" si="0"/>
        <v>172</v>
      </c>
      <c r="G8" s="6" t="s">
        <v>10</v>
      </c>
    </row>
    <row r="9" spans="1:7" s="2" customFormat="1" x14ac:dyDescent="0.25">
      <c r="A9" s="4">
        <v>6</v>
      </c>
      <c r="B9" s="5" t="s">
        <v>16</v>
      </c>
      <c r="C9" s="4">
        <v>63</v>
      </c>
      <c r="D9" s="4">
        <v>48</v>
      </c>
      <c r="E9" s="4">
        <v>41</v>
      </c>
      <c r="F9" s="4">
        <f t="shared" si="0"/>
        <v>152</v>
      </c>
      <c r="G9" s="6" t="s">
        <v>10</v>
      </c>
    </row>
    <row r="10" spans="1:7" s="2" customFormat="1" x14ac:dyDescent="0.25">
      <c r="A10" s="4">
        <v>7</v>
      </c>
      <c r="B10" s="5" t="s">
        <v>17</v>
      </c>
      <c r="C10" s="4">
        <v>41</v>
      </c>
      <c r="D10" s="4">
        <v>45</v>
      </c>
      <c r="E10" s="4">
        <v>51</v>
      </c>
      <c r="F10" s="4">
        <f t="shared" si="0"/>
        <v>137</v>
      </c>
      <c r="G10" s="6" t="s">
        <v>12</v>
      </c>
    </row>
    <row r="11" spans="1:7" s="2" customFormat="1" x14ac:dyDescent="0.25">
      <c r="A11" s="4">
        <v>8</v>
      </c>
      <c r="B11" s="5" t="s">
        <v>18</v>
      </c>
      <c r="C11" s="4">
        <v>51</v>
      </c>
      <c r="D11" s="4">
        <v>72</v>
      </c>
      <c r="E11" s="4">
        <v>63</v>
      </c>
      <c r="F11" s="4">
        <f t="shared" si="0"/>
        <v>186</v>
      </c>
      <c r="G11" s="6" t="s">
        <v>10</v>
      </c>
    </row>
    <row r="12" spans="1:7" s="2" customFormat="1" x14ac:dyDescent="0.25">
      <c r="A12" s="4">
        <v>9</v>
      </c>
      <c r="B12" s="5" t="s">
        <v>19</v>
      </c>
      <c r="C12" s="4">
        <v>69</v>
      </c>
      <c r="D12" s="4">
        <v>75</v>
      </c>
      <c r="E12" s="4">
        <v>74</v>
      </c>
      <c r="F12" s="4">
        <f t="shared" si="0"/>
        <v>218</v>
      </c>
      <c r="G12" s="6" t="s">
        <v>14</v>
      </c>
    </row>
    <row r="13" spans="1:7" s="2" customFormat="1" x14ac:dyDescent="0.25">
      <c r="A13" s="4">
        <v>10</v>
      </c>
      <c r="B13" s="4" t="s">
        <v>20</v>
      </c>
      <c r="C13" s="4">
        <v>89</v>
      </c>
      <c r="D13" s="4">
        <v>92</v>
      </c>
      <c r="E13" s="4">
        <v>90</v>
      </c>
      <c r="F13" s="4">
        <f t="shared" si="0"/>
        <v>271</v>
      </c>
      <c r="G13" s="6" t="s">
        <v>8</v>
      </c>
    </row>
    <row r="14" spans="1:7" s="2" customFormat="1" x14ac:dyDescent="0.25">
      <c r="A14" s="12" t="s">
        <v>21</v>
      </c>
      <c r="B14" s="12"/>
      <c r="C14" s="4">
        <f>AVERAGE(C4:C13)</f>
        <v>70.599999999999994</v>
      </c>
      <c r="D14" s="4">
        <f>AVERAGE(D4:D13)</f>
        <v>74.099999999999994</v>
      </c>
      <c r="E14" s="4">
        <f>AVERAGE(E4:E13)</f>
        <v>66.2</v>
      </c>
      <c r="F14" s="4">
        <f>AVERAGE(F4:F13)</f>
        <v>210.9</v>
      </c>
      <c r="G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workbookViewId="0"/>
  </sheetViews>
  <sheetFormatPr defaultRowHeight="16.5" x14ac:dyDescent="0.25"/>
  <sheetData>
    <row r="1" spans="1:6" s="2" customFormat="1" x14ac:dyDescent="0.25">
      <c r="A1" s="2" t="s">
        <v>22</v>
      </c>
    </row>
    <row r="2" spans="1:6" s="2" customFormat="1" x14ac:dyDescent="0.25"/>
    <row r="3" spans="1:6" s="2" customFormat="1" x14ac:dyDescent="0.25">
      <c r="A3" s="7" t="s">
        <v>1</v>
      </c>
      <c r="B3" s="7" t="s">
        <v>2</v>
      </c>
      <c r="C3" s="7" t="s">
        <v>23</v>
      </c>
      <c r="D3" s="7" t="s">
        <v>24</v>
      </c>
      <c r="E3" s="7" t="s">
        <v>5</v>
      </c>
      <c r="F3" s="7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1" t="s">
        <v>21</v>
      </c>
      <c r="B14" s="11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3教科</vt:lpstr>
      <vt:lpstr>國語測試</vt:lpstr>
      <vt:lpstr>數學測試</vt:lpstr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2010-06-08T07:51:31Z</cp:lastPrinted>
  <dcterms:created xsi:type="dcterms:W3CDTF">2009-08-21T04:47:54Z</dcterms:created>
  <dcterms:modified xsi:type="dcterms:W3CDTF">2021-03-26T15:30:13Z</dcterms:modified>
</cp:coreProperties>
</file>